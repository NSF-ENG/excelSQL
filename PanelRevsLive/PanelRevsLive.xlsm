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R:\excelSQL\PanelRevsLive\"/>
    </mc:Choice>
  </mc:AlternateContent>
  <bookViews>
    <workbookView xWindow="0" yWindow="0" windowWidth="12345" windowHeight="9090"/>
  </bookViews>
  <sheets>
    <sheet name="Dashboard" sheetId="2" r:id="rId1"/>
    <sheet name="RevSubmit" sheetId="8" r:id="rId2"/>
    <sheet name="Anon" sheetId="4" r:id="rId3"/>
    <sheet name="AllReviewsRcvd" sheetId="1" r:id="rId4"/>
    <sheet name="HiddenSettings" sheetId="7" state="hidden" r:id="rId5"/>
  </sheets>
  <functionGroups builtInGroupCount="18"/>
  <definedNames>
    <definedName name="_xlnm._FilterDatabase" localSheetId="0" hidden="1">Dashboard!$U$1:$U$1</definedName>
    <definedName name="ExternalData_1" localSheetId="1" hidden="1">RevSubmit!$A$6:$C$7</definedName>
    <definedName name="Mac_connect_string" localSheetId="4">HiddenSettings!$B$5</definedName>
    <definedName name="panl_id">Dashboard!$A$1</definedName>
    <definedName name="PC_connect_string" localSheetId="4">HiddenSettings!$B$4</definedName>
    <definedName name="Query_from_RPTSERVER" localSheetId="3" hidden="1">AllReviewsRcvd!$A$1:$AE$2</definedName>
    <definedName name="Query_from_RPTSERVER" localSheetId="1" hidden="1">RevSubmit!$A$2:$C$3</definedName>
    <definedName name="revr_index">Anon!$A$2</definedName>
    <definedName name="revr_name">Anon!$B$4</definedName>
    <definedName name="rpt_pwd" comment="reportserver password" localSheetId="4">HiddenSettings!$B$3</definedName>
    <definedName name="RS_AllRevs" localSheetId="4">HiddenSettings!$C$16</definedName>
    <definedName name="RS_reviewers" localSheetId="4">HiddenSettings!$C$13</definedName>
    <definedName name="RS_revSave" localSheetId="4">HiddenSettings!$C$14</definedName>
    <definedName name="RS_revSaveInitials" localSheetId="4">HiddenSettings!$C$15</definedName>
    <definedName name="RS_revscores" localSheetId="4">HiddenSettings!$C$17</definedName>
    <definedName name="RS_revSub" localSheetId="4">HiddenSettings!$C$11</definedName>
    <definedName name="RS_revSubInitials" localSheetId="4">HiddenSettings!$C$12</definedName>
    <definedName name="Rvr_names_panel" localSheetId="1" hidden="1">RevSubmit!$E$2:$L$3</definedName>
    <definedName name="user_id" comment="reportserver user_id" localSheetId="4">HiddenSettings!$B$2</definedName>
  </definedNames>
  <calcPr calcId="171027" concurrentCalc="0"/>
  <pivotCaches>
    <pivotCache cacheId="72" r:id="rId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8" l="1"/>
  <c r="G4" i="8"/>
  <c r="B4" i="4"/>
</calcChain>
</file>

<file path=xl/connections.xml><?xml version="1.0" encoding="utf-8"?>
<connections xmlns="http://schemas.openxmlformats.org/spreadsheetml/2006/main">
  <connection id="1" name="AllReviews Query" type="1" refreshedVersion="6" savePassword="1" background="1" saveData="1">
    <dbPr connection="dsn=RPTSERVER;database=FLflpdb;server=RPTSQL.nsf.gov;port=5000;UID=ccfuser;PWD=CCfdata08/18;" command="SET NOCOUNT ON _x000d__x000a_declare @panl_id char(7) set @panl_id = 'p1888888'_x000d__x000a_SELECT pp.PANL_ID, pp.PROP_SEQ_NUM, pp.PROP_ID, _x000d__x000a_pi.pi_last_name, pi.pi_frst_name,inst_shrt_name, p.prop_titl_txt, Lead, Scribe_x000d__x000a_INTO #myProps _x000d__x000a_FROM flp.PANL_PROP pp _x000d__x000a_JOIN flp.prop_pars p ON p.prop_id = pp.PROP_ID AND (p.prop_id=isnull(p.lead_prop_id,p.prop_id))_x000d__x000a_JOIN flp.pi_pars pi ON p.pi_id = pi.pi_id _x000d__x000a_LEFT OUTER JOIN flp.inst inst ON p.inst_id = inst.inst_id_x000d__x000a_LEFT OUTER JOIN flp.panl_asgn_view pa ON pa.prop_id = pp.PROP_ID AND pa.panl_id = @panl_id_x000d__x000a_WHERE (pp.PANL_ID=@panl_id) _x000d__x000a_ORDER BY pp.prop_id_x000d__x000a_CREATE INDEX myProp_Idx ON #myProps(PROP_ID)_x000d__x000a__x000d__x000a_SELECT p.prop_id, rp.revr_id, ra.rev_type_code, ra.rev_stts_code, ra.rev_sent_date,_x000d__x000a_rp.rev_rtrn_date, rp.rev_subm_flag, rs.score, rs.string,rt.REV_PROP_TXT_FLDS, rt.revr_dclr_coi_ind, rt.CNFLCT_INTRST_TXT, rt.ADDL_SUGG_REVR,_x000d__x000a_(SELECT max(pp.panl_id) FROM flp.panl_prop pp _x000d__x000a_    JOIN flp.panl_revr pr ON pr.panl_id = pp.panl_id _x000d__x000a_    WHERE pp.prop_id = p.prop_id AND pr.revr_id = rp.revr_id_x000d__x000a_    ) AS rev_panl -- panel review is for; null for ad hocs_x000d__x000a_INTO #myRevs_x000d__x000a_FROM #myProps p_x000d__x000a_JOIN flp.rev_prop rp ON rp.prop_id = p.PROP_ID _x000d__x000a_JOIN tempdb.guest.revScores rs ON rs.yn = rp.rev_prop_rtng_ind_x000d__x000a_LEFT OUTER JOIN flp.rev_prop_txt_flds rt ON rt.PROP_ID = rp.PROP_ID AND rt.revr_id = rp.revr_id_x000d__x000a_LEFT OUTER JOIN flp.rev_prop_pars ra ON ra.prop_id = rp.prop_id AND ra.revr_id = rp.revr_id _x000d__x000a_CREATE INDEX myRevs_Idx ON #myRevs(prop_id, revr_id)_x000d__x000a__x000d__x000a_INSERT INTO #myRevs (prop_id, revr_id, rev_type_code, rev_stts_code, rev_sent_date, string, REV_PROP_TXT_FLDS, revr_dclr_coi_ind, CNFLCT_INTRST_TXT, ADDL_SUGG_REVR)_x000d__x000a_SELECT p.prop_id, rpp.revr_id, rpp.rev_type_code, rpp.rev_stts_code, rpp.rev_sent_date, 'R' as string,rt.REV_PROP_TXT_FLDS, rt.revr_dclr_coi_ind, rt.CNFLCT_INTRST_TXT, rt.ADDL_SUGG_REVR_x000d__x000a_FROM #myProps p_x000d__x000a_JOIN flp.rev_prop_pars rpp ON rpp.prop_id = p.prop_id AND rev_stts_code &lt;&gt; 'D' -- drop declines not captured above_x000d__x000a_     AND (rev_type_code &lt;&gt; 'P' OR rev_stts_code &lt;&gt; 'P') -- ignore pending from panelists; keep C,B,1,2,3 assignments_x000d__x000a_JOIN flp.panl_revr pr ON pr.panl_id = p.panl_id AND pr.revr_id = rpp.revr_id -- must be on panel_x000d__x000a_LEFT OUTER JOIN flp.rev_prop_txt_flds rt ON rt.PROP_ID = p.PROP_ID AND rt.revr_id = rpp.revr_id_x000d__x000a_WHERE NOT EXISTS (SELECT * FROM #myRevs rp _x000d__x000a_                    WHERE rpp.prop_id = rp.prop_id AND rpp.revr_id = rp.revr_id)_x000d__x000a__x000d__x000a_INSERT INTO #myRevs --(prop_id, revr_id, rev_type_code, rev_stts_code, rev_sent_date, string, REV_PROP_TXT_FLDS, revr_dclr_coi_ind, CNFLCT_INTRST_TXT, ADDL_SUGG_REVR)_x000d__x000a_SELECT p.prop_id, rp.revr_id, ra.rev_type_code, ra.rev_stts_code, ra.rev_sent_date,_x000d__x000a_rp.rev_rtrn_date, rp.rev_subm_flag, rs.score, rs.string,rt.REV_PROP_TXT_FLDS, rt.revr_dclr_coi_ind, rt.CNFLCT_INTRST_TXT, rt.ADDL_SUGG_REVR, 'Saved' as rev_panl_x000d__x000a_FROM #myProps p_x000d__x000a_JOIN flp.rev_prop_wp rp ON rp.prop_id = p.PROP_ID _x000d__x000a_JOIN tempdb.guest.revScores rs ON rs.yn = rp.rev_prop_rtng_ind_x000d__x000a_LEFT OUTER JOIN flp.rev_prop_txt_flds_wp rt ON rt.PROP_ID = rp.PROP_ID AND rt.revr_id = rp.revr_id_x000d__x000a_LEFT OUTER JOIN flp.rev_prop_pars ra ON ra.prop_id = rp.prop_id AND ra.revr_id = rp.revr_id _x000d__x000a_WHERE NOT EXISTS (SELECT * FROM #myRevs mr_x000d__x000a_                    WHERE rp.prop_id = mr.prop_id AND rp.revr_id = mr.revr_id)_x000d__x000a__x000d__x000a_SELECT p.panl_id,p.PROP_SEQ_NUM, _x000d__x000a_pi_last_name, pi_frst_name,inst_shrt_name, prop_titl_txt,_x000d__x000a_(SELECT count(*) FROM #myRevs ra WHERE ra.prop_id = mr.prop_id AND rev_stts_code = 'C') AS nCOI,_x000d__x000a_mr.*, _x000d__x000a_CASE WHEN mr.rev_stts_code = 'C'THEN 'Conflict' -- conflicted may or may not have returned a review_x000d__x000a_     WHEN mr.rev_rtrn_date is null THEN 'Assigned' -- can assume assigned if no review and not conflicted_x000d__x000a_     WHEN mr.string = 'R' THEN 'Remarks' -- remarks only reviews_x000d__x000a_     WHEN mr.rev_panl = p.panl_id THEN 'Rcvd Panel' -- recieved review on this panel_x000d__x000a_     WHEN mr.rev_panl is null THEN 'Rcvd Adhoc' -- received ad hoc_x000d__x000a_     ELSE mr.rev_panl END AS rType, --received review from other panel_x000d__x000a_Lead,(select revr_last_name FROM flp.revr_pars WHERE revr_id = p.Lead) AS Lead_name, _x000d__x000a_Scribe, (select revr_last_name FROM flp.revr_pars WHERE revr_id = p.Scribe) AS Scribe_name,_x000d__x000a_r.revr_last_name, r.revr_frst_name,e.revr_addr_txt AS email_x000d__x000a_FROM #myRevs mr_x000d__x000a_JOIN #myProps p ON p.prop_id = mr.prop_id_x000d__x000a_JOIN flp.revr_pars r ON r.revr_id = mr.REVR_ID_x000d__x000a_LEFT OUTER JOIN rptdb.csd.revr_opt_addr_line e ON e.revr_id = mr.revr_id AND e.addr_lne_type_code = 'E'  _x000d__x000a__x000d__x000a_ORDER BY p.PROP_SEQ_NUM, rev_panl, score DESC, revr_last_name, revr_frst_name_x000d__x000a_DROP TABLE #myProps _x000d__x000a_DROP TABLE #myRevs _x000d__x000a_"/>
    <parameters count="1">
      <parameter name="Parameter1" sqlType="1" parameterType="cell" cell="Dashboard!$A$1"/>
    </parameters>
  </connection>
  <connection id="2" name="RevSaved" type="1" refreshedVersion="6" savePassword="1" background="1" saveData="1">
    <dbPr connection="dsn=RPTSERVER;database=FLflpdb;server=RPTSQL.nsf.gov;port=5000;UID=ccfuser;PWD=CCfdata08/18;" command="SET NOCOUNT ON _x000d__x000a_declare @panl_id char(7) set @panl_id = 'p1888888'_x000d__x000a_SELECT revr_pars.revr_last_name, revr_pars.revr_frst_name, Count(REV_PROP_WP.PROP_ID) AS 'Count'_x000d__x000a_FROM FLflpdb.flp.PANL_PROP PANL_PROP, FLflpdb.flp.PANL_REVR PANL_REVR, FLflpdb.flp.prop_pars prop_pars, FLflpdb.flp.REV_PROP_WP REV_PROP_WP, FLflpdb.flp.revr_pars revr_pars_x000d__x000a_WHERE PANL_REVR.REVR_ID = revr_pars.revr_id AND PANL_REVR.REVR_ID = REV_PROP_WP.REVR_ID _x000d__x000a_AND REV_PROP_WP.PROP_ID = prop_pars.prop_id AND PANL_REVR.PANL_ID = PANL_PROP.PANL_ID _x000d__x000a_AND PANL_PROP.PROP_ID = REV_PROP_WP.PROP_ID AND ((PANL_REVR.PANL_ID=@panl_id) _x000d__x000a_AND (prop_pars.prop_id=isnull(prop_pars.lead_prop_id,prop_pars.prop_id)))_x000d__x000a_GROUP BY revr_pars.revr_last_name, revr_pars.revr_frst_name_x000d__x000a_order by revr_last_name, revr_frst_name_x000d__x000a_"/>
    <parameters count="1">
      <parameter name="Parameter1" sqlType="1" parameterType="cell" cell="RevSubmit!$A$1"/>
    </parameters>
  </connection>
  <connection id="3" name="RevSubmit" type="1" refreshedVersion="6" background="1" saveData="1">
    <dbPr connection="dsn=RPTSERVER;database=rptdb;server=RPTSQL.nsf.gov;port=5000;UID=ccfuser;" command="SET NOCOUNT ON _x000d__x000a_declare @panl_id char(7) set @panl_id = 'p1888888'_x000d__x000a_SELECT revr.revr_last_name, revr.revr_frst_name, Count(prop.prop_id) AS 'Count of prop_id'_x000d__x000a_FROM csd.panl_prop panl_prop, csd.panl_revr panl_revr, csd.prop prop, csd.rev_prop_vw rev_prop, csd.revr revr_x000d__x000a_WHERE panl_prop.prop_id = rev_prop.prop_id AND rev_prop.revr_id = revr.revr_id AND panl_prop.prop_id = prop.prop_id _x000d__x000a_AND panl_prop.panl_id = panl_revr.panl_id AND panl_revr.revr_id = rev_prop.revr_id _x000d__x000a_AND ((panl_prop.panl_id= @panl_id) AND (prop.prop_id=isnull(prop.lead_prop_id,prop.prop_id)))_x000d__x000a_GROUP BY revr.revr_last_name, revr.revr_frst_name_x000d__x000a_order by revr_last_name, revr_frst_name_x000d__x000a_if object_id('tempdb.guest.revScores') is null _x000d__x000a_  exec('create table tempdb.guest.revScores(yn char(5) primary key, string varchar(10), score real null) insert into tempdb.guest.revScores_x000d__x000a_select ''NNNNN'', ''R'',  null  union all select ''NNNNY'', ''P'', 1 union all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parameters count="1">
      <parameter name="Parameter1" sqlType="1"/>
    </parameters>
  </connection>
  <connection id="4" name="Rvr_names_panel" type="1" refreshedVersion="6" savePassword="1" background="1" saveData="1">
    <dbPr connection="dsn=RPTSERVER;database=rptdb;server=RPTSQL.nsf.gov;port=5000;UID=ccfuser;PWD=CCfdata08/18;" command="SET NOCOUNT ON _x000d__x000a_declare @panl_id char(7) set @panl_id = 'p1888888'_x000d__x000a_select a.panl_id, a.panl_name, c.revr_last_name, c.revr_frst_name, c.revr_id, c.revr_dept_name, d.inst_name, e.revr_addr_txt _x000d__x000a_from rptdb.csd.panl a, rptdb.csd.panl_revr b, rptdb.csd.revr c, rptdb.csd.inst d, rptdb.csd.revr_opt_addr_line e_x000d__x000a_where a.panl_id = @panl_id_x000d__x000a_and a.panl_id = b.panl_id_x000d__x000a_and b.revr_id = c.revr_id_x000d__x000a_and c.inst_id *= d.inst_id_x000d__x000a_and c.revr_id = e.revr_id_x000d__x000a_and e.addr_lne_type_code = 'E'  -- indcates email address _x000d__x000a_order by c.revr_last_name, c.revr_frst_name_x000d__x000a_"/>
    <parameters count="1">
      <parameter name="Parameter1" parameterType="cell" cell="RevSubmit!$A$1"/>
    </parameters>
  </connection>
</connections>
</file>

<file path=xl/sharedStrings.xml><?xml version="1.0" encoding="utf-8"?>
<sst xmlns="http://schemas.openxmlformats.org/spreadsheetml/2006/main" count="189" uniqueCount="116">
  <si>
    <t>REV_PROP_TXT_FLDS</t>
  </si>
  <si>
    <t>revr_dclr_coi_ind</t>
  </si>
  <si>
    <t>ADDL_SUGG_REVR</t>
  </si>
  <si>
    <t>CNFLCT_INTRST_TXT</t>
  </si>
  <si>
    <t>pi_last_name</t>
  </si>
  <si>
    <t>pi_frst_name</t>
  </si>
  <si>
    <t>prop_titl_txt</t>
  </si>
  <si>
    <t>revr_last_name</t>
  </si>
  <si>
    <t>revr_frst_name</t>
  </si>
  <si>
    <t>rev_rtrn_date</t>
  </si>
  <si>
    <t>rev_subm_flag</t>
  </si>
  <si>
    <t>&lt;-- set panel id here</t>
  </si>
  <si>
    <t>nWords</t>
  </si>
  <si>
    <t>Row Labels</t>
  </si>
  <si>
    <t>Grand Total</t>
  </si>
  <si>
    <t>Column Labels</t>
  </si>
  <si>
    <t>score</t>
  </si>
  <si>
    <t>string</t>
  </si>
  <si>
    <t>nprop</t>
  </si>
  <si>
    <t>Avg score</t>
  </si>
  <si>
    <t>SDev score</t>
  </si>
  <si>
    <t>Min  nwrds</t>
  </si>
  <si>
    <t>Avg nwrds</t>
  </si>
  <si>
    <t>Max nwrds</t>
  </si>
  <si>
    <t>SDev nwrds</t>
  </si>
  <si>
    <t>Avg of nWords</t>
  </si>
  <si>
    <t>StDev nWrds</t>
  </si>
  <si>
    <t>PROP_SEQ_NUM</t>
  </si>
  <si>
    <t>nCOI</t>
  </si>
  <si>
    <r>
      <t xml:space="preserve">4=E, 2=V, 0=G, </t>
    </r>
    <r>
      <rPr>
        <sz val="11"/>
        <color rgb="FFFF0000"/>
        <rFont val="Calibri"/>
        <family val="2"/>
        <scheme val="minor"/>
      </rPr>
      <t>-2</t>
    </r>
    <r>
      <rPr>
        <sz val="11"/>
        <color theme="1"/>
        <rFont val="Calibri"/>
        <family val="2"/>
        <scheme val="minor"/>
      </rPr>
      <t xml:space="preserve">=F, </t>
    </r>
    <r>
      <rPr>
        <sz val="11"/>
        <color rgb="FFFF0000"/>
        <rFont val="Calibri"/>
        <family val="2"/>
        <scheme val="minor"/>
      </rPr>
      <t>-4</t>
    </r>
    <r>
      <rPr>
        <sz val="11"/>
        <color theme="1"/>
        <rFont val="Calibri"/>
        <family val="2"/>
        <scheme val="minor"/>
      </rPr>
      <t>=P</t>
    </r>
  </si>
  <si>
    <t>score0</t>
  </si>
  <si>
    <t>Average of score0</t>
  </si>
  <si>
    <t>email</t>
  </si>
  <si>
    <t>Min scor</t>
  </si>
  <si>
    <t>Max scor</t>
  </si>
  <si>
    <t>inst_shrt_name</t>
  </si>
  <si>
    <t>panl_id</t>
  </si>
  <si>
    <t>prop_id</t>
  </si>
  <si>
    <t>revr_id</t>
  </si>
  <si>
    <t>rev_type_code</t>
  </si>
  <si>
    <t>rev_stts_code</t>
  </si>
  <si>
    <t>rev_sent_date</t>
  </si>
  <si>
    <t>rev_panl</t>
  </si>
  <si>
    <t>rType</t>
  </si>
  <si>
    <t>Lead</t>
  </si>
  <si>
    <t>Lead_name</t>
  </si>
  <si>
    <t>Scribe</t>
  </si>
  <si>
    <t>Scribe_name</t>
  </si>
  <si>
    <t>Max sc0r</t>
  </si>
  <si>
    <t>Avg  sc0r</t>
  </si>
  <si>
    <t>Stdev sc0r</t>
  </si>
  <si>
    <t>Num revr</t>
  </si>
  <si>
    <t>Live review scores for a panel; pivot tables show reviewer and proposal statistics. 
Filtering on rType lets you include adhocs and reviews on other panels.
Can check reviewers of few words, with narrow ranges, or extreme averages.</t>
  </si>
  <si>
    <t>Reviews</t>
  </si>
  <si>
    <t>4=E, 3=E/V, 2=V, 1=V/G, 0=G, -1=G/F, -2=F, -3=F/P, -4=P</t>
  </si>
  <si>
    <t>Max nWrds</t>
  </si>
  <si>
    <t>Min nWrds</t>
  </si>
  <si>
    <t>Overall</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</si>
  <si>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</si>
  <si>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</si>
  <si>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</si>
  <si>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</si>
  <si>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</si>
  <si>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</si>
  <si>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</si>
  <si>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</si>
  <si>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name</t>
  </si>
  <si>
    <t>updated</t>
  </si>
  <si>
    <t>sql</t>
  </si>
  <si>
    <t>RS_revSub</t>
  </si>
  <si>
    <t xml:space="preserve">SELECT revr.revr_last_name, revr.revr_frst_name, Count(prop.prop_id) AS 'Count of prop_id'_x000D_
FROM csd.panl_prop panl_prop, csd.panl_revr panl_revr, csd.prop prop, csd.rev_prop_vw rev_prop, csd.revr revr_x000D_
WHERE panl_prop.prop_id = rev_prop.prop_id AND rev_prop.revr_id = revr.revr_id AND panl_prop.prop_id = prop.prop_id _x000D_
AND panl_prop.panl_id = panl_revr.panl_id AND panl_revr.revr_id = rev_prop.revr_id _x000D_
AND ((panl_prop.panl_id= @panl_id) AND (prop.prop_id=isnull(prop.lead_prop_id,prop.prop_id)))_x000D_
GROUP BY revr.revr_last_name, revr.revr_frst_name_x000D_
order by revr_last_name, revr_frst_name_x000D_
</t>
  </si>
  <si>
    <t>RS_revSubInitials</t>
  </si>
  <si>
    <t xml:space="preserve">SELECT left(revr.revr_frst_name,1) + left(revr.revr_last_name,1) as Initials, Count(prop.prop_id) AS 'Count of prop_id'_x000D_
FROM csd.panl_prop panl_prop, csd.panl_revr panl_revr, csd.prop prop, csd.rev_prop_vw rev_prop, csd.revr revr_x000D_
WHERE panl_prop.prop_id = rev_prop.prop_id AND rev_prop.revr_id = revr.revr_id AND panl_prop.prop_id = prop.prop_id _x000D_
AND panl_prop.panl_id = panl_revr.panl_id AND panl_revr.revr_id = rev_prop.revr_id _x000D_
AND ((panl_prop.panl_id= @panl_id) AND (prop.prop_id=isnull(prop.lead_prop_id,prop.prop_id)))_x000D_
GROUP BY revr.revr_last_name, revr.revr_frst_name_x000D_
order by revr_last_name, revr_frst_name_x000D_
</t>
  </si>
  <si>
    <t>RS_reviewers</t>
  </si>
  <si>
    <t xml:space="preserve">select a.panl_id, a.panl_name, c.revr_last_name, c.revr_frst_name, c.revr_id, c.revr_dept_name, d.inst_name, e.revr_addr_txt _x000D_
from rptdb.csd.panl a, rptdb.csd.panl_revr b, rptdb.csd.revr c, rptdb.csd.inst d, rptdb.csd.revr_opt_addr_line e_x000D_
where a.panl_id = @panl_id_x000D_
and a.panl_id = b.panl_id_x000D_
and b.revr_id = c.revr_id_x000D_
and c.inst_id *= d.inst_id_x000D_
and c.revr_id = e.revr_id_x000D_
and e.addr_lne_type_code = 'E'  -- indcates email address _x000D_
order by c.revr_last_name, c.revr_frst_name_x000D_
</t>
  </si>
  <si>
    <t>RS_revSave</t>
  </si>
  <si>
    <t xml:space="preserve">SELECT revr_pars.revr_last_name, revr_pars.revr_frst_name, Count(REV_PROP_WP.PROP_ID) AS 'Count'_x000D_
FROM FLflpdb.flp.PANL_PROP PANL_PROP, FLflpdb.flp.PANL_REVR PANL_REVR, FLflpdb.flp.prop_pars prop_pars, FLflpdb.flp.REV_PROP_WP REV_PROP_WP, FLflpdb.flp.revr_pars revr_pars_x000D_
WHERE PANL_REVR.REVR_ID = revr_pars.revr_id AND PANL_REVR.REVR_ID = REV_PROP_WP.REVR_ID _x000D_
AND REV_PROP_WP.PROP_ID = prop_pars.prop_id AND PANL_REVR.PANL_ID = PANL_PROP.PANL_ID _x000D_
AND PANL_PROP.PROP_ID = REV_PROP_WP.PROP_ID AND ((PANL_REVR.PANL_ID=@panl_id) _x000D_
AND (prop_pars.prop_id=isnull(prop_pars.lead_prop_id,prop_pars.prop_id)))_x000D_
GROUP BY revr_pars.revr_last_name, revr_pars.revr_frst_name_x000D_
order by revr_last_name, revr_frst_name_x000D_
</t>
  </si>
  <si>
    <t>RS_revSaveInitials</t>
  </si>
  <si>
    <t>Reviews submitted</t>
  </si>
  <si>
    <t>Count of prop_id</t>
  </si>
  <si>
    <t>panl_name</t>
  </si>
  <si>
    <t>revr_addr_txt</t>
  </si>
  <si>
    <t>inst_name</t>
  </si>
  <si>
    <t>revr_dept_name</t>
  </si>
  <si>
    <t>Reviews saved, not submitted</t>
  </si>
  <si>
    <t>Count</t>
  </si>
  <si>
    <t>Queries the interactive panel system and counts reviews submitted and saved per panel reviewer.</t>
  </si>
  <si>
    <t>I copy the two tables at left and email  to my panelists to honor those who submit reviews in on time.</t>
  </si>
  <si>
    <t>Table above list email addresses.</t>
  </si>
  <si>
    <t>Set panl_id on Dashboard tab.</t>
  </si>
  <si>
    <t>concat</t>
  </si>
  <si>
    <t>&lt;-- copy tables, then click to --&gt;</t>
  </si>
  <si>
    <t xml:space="preserve">SELECT left(revr_pars.revr_frst_name,1) + left(revr_pars.revr_last_name,1) as Initials, Count(REV_PROP_WP.PROP_ID) AS 'Count'_x000D_
FROM FLflpdb.flp.PANL_PROP PANL_PROP, FLflpdb.flp.PANL_REVR PANL_REVR, FLflpdb.flp.prop_pars prop_pars, FLflpdb.flp.REV_PROP_WP REV_PROP_WP, FLflpdb.flp.revr_pars revr_pars_x000D_
WHERE PANL_REVR.REVR_ID = revr_pars.revr_id AND PANL_REVR.REVR_ID = REV_PROP_WP.REVR_ID _x000D_
AND REV_PROP_WP.PROP_ID = prop_pars.prop_id AND PANL_REVR.PANL_ID = PANL_PROP.PANL_ID _x000D_
AND PANL_PROP.PROP_ID = REV_PROP_WP.PROP_ID AND ((PANL_REVR.PANL_ID=@panl_id) _x000D_
AND (prop_pars.prop_id=isnull(prop_pars.lead_prop_id,prop_pars.prop_id)))_x000D_
GROUP BY revr_pars.revr_last_name, revr_pars.revr_frst_name_x000D_
order by revr_last_name, revr_frst_name_x000D_
</t>
  </si>
  <si>
    <t>RS_AllRevs</t>
  </si>
  <si>
    <t xml:space="preserve">SELECT pp.PANL_ID, pp.PROP_SEQ_NUM, pp.PROP_ID, _x000D_
pi.pi_last_name, pi.pi_frst_name,inst_shrt_name, p.prop_titl_txt, Lead, Scribe_x000D_
INTO #myProps _x000D_
FROM flp.PANL_PROP pp _x000D_
JOIN flp.prop_pars p ON p.prop_id = pp.PROP_ID AND (p.prop_id=isnull(p.lead_prop_id,p.prop_id))_x000D_
JOIN flp.pi_pars pi ON p.pi_id = pi.pi_id _x000D_
LEFT OUTER JOIN flp.inst inst ON p.inst_id = inst.inst_id_x000D_
LEFT OUTER JOIN flp.panl_asgn_view pa ON pa.prop_id = pp.PROP_ID AND pa.panl_id = @panl_id_x000D_
WHERE (pp.PANL_ID=@panl_id) _x000D_
ORDER BY pp.prop_id_x000D_
CREATE INDEX myProp_Idx ON #myProps(PROP_ID)_x000D_
SELECT p.prop_id, rp.revr_id, ra.rev_type_code, ra.rev_stts_code, ra.rev_sent_date,_x000D_
rp.rev_rtrn_date, rp.rev_subm_flag, rs.score, rs.string, _x000D_
(SELECT max(pp.panl_id) FROM flp.panl_prop pp _x000D_
    JOIN flp.panl_revr pr ON pr.panl_id = pp.panl_id _x000D_
    WHERE pp.prop_id = p.prop_id AND pr.revr_id = rp.revr_id_x000D_
    ) AS rev_panl -- panel review is for; null for ad hocs_x000D_
INTO #myRevs_x000D_
FROM #myProps p_x000D_
JOIN flp.rev_prop rp ON rp.prop_id = p.PROP_ID _x000D_
JOIN tempdb.guest.revScores rs ON rs.yn = rp.rev_prop_rtng_ind_x000D_
LEFT OUTER JOIN flp.rev_prop_txt_flds rt ON rt.PROP_ID = rp.PROP_ID AND rt.revr_id = rp.revr_id_x000D_
LEFT OUTER JOIN flp.rev_prop_pars ra ON ra.prop_id = rp.prop_id AND ra.revr_id = rp.revr_id _x000D_
CREATE INDEX myRevs_Idx ON #myRevs(prop_id, revr_id)_x000D_
INSERT INTO #myRevs (prop_id, revr_id, rev_type_code, rev_stts_code, rev_sent_date, string)_x000D_
SELECT p.prop_id, rpp.revr_id, rpp.rev_type_code, rpp.rev_stts_code, rpp.rev_sent_date, 'R' as string _x000D_
FROM #myProps p_x000D_
JOIN flp.rev_prop_pars rpp ON rpp.prop_id = p.prop_id AND rev_stts_code &lt;&gt; 'D' -- drop declines not captured above_x000D_
     AND (rev_type_code &lt;&gt; 'P' OR rev_stts_code &lt;&gt; 'P') -- ignore pending from panelists; keep C,B,1,2,3 assignments_x000D_
JOIN flp.panl_revr pr ON pr.panl_id = p.panl_id AND pr.revr_id = rpp.revr_id -- must be on panel_x000D_
WHERE NOT EXISTS (SELECT * FROM #myRevs rp _x000D_
                    WHERE rpp.prop_id = rp.prop_id AND rpp.revr_id = rp.revr_id)_x000D_
SELECT p.panl_id,p.PROP_SEQ_NUM, _x000D_
pi_last_name, pi_frst_name,inst_shrt_name, prop_titl_txt,_x000D_
(SELECT count(*) FROM #myRevs ra WHERE ra.prop_id = mr.prop_id AND rev_stts_code = 'C') AS nCOI,_x000D_
mr.*, _x000D_
CASE WHEN mr.rev_stts_code = 'C'THEN 'Conflict' -- conflicted may or may not have returned a review_x000D_
     WHEN mr.rev_rtrn_date is null THEN 'Assigned' -- can assume assigned if no review and not conflicted_x000D_
     WHEN mr.string = 'R' THEN 'Remarks' -- remarks only reviews_x000D_
     WHEN mr.rev_panl = p.panl_id THEN 'Rcvd Panel' -- recieved review on this panel_x000D_
     WHEN mr.rev_panl is null THEN 'Rcvd Adhoc' -- received ad hoc_x000D_
     ELSE mr.rev_panl END AS rType, --received review from other panel_x000D_
Lead,(select revr_last_name FROM flp.revr_pars WHERE revr_id = p.Lead) AS Lead_name, _x000D_
Scribe, (select revr_last_name FROM flp.revr_pars WHERE revr_id = p.Scribe) AS Scribe_name,_x000D_
r.revr_last_name, r.revr_frst_name,e.revr_addr_txt AS email, _x000D_
rt.REV_PROP_TXT_FLDS,_x000D_
rt.revr_dclr_coi_ind, rt.CNFLCT_INTRST_TXT, rt.ADDL_SUGG_REVR_x000D_
FROM #myRevs mr_x000D_
JOIN #myProps p ON p.prop_id = mr.prop_id_x000D_
JOIN flp.revr_pars r ON r.revr_id = mr.REVR_ID_x000D_
LEFT OUTER JOIN flp.rev_prop_txt_flds rt ON rt.PROP_ID = mr.PROP_ID AND rt.revr_id = mr.revr_id_x000D_
LEFT OUTER JOIN rptdb.csd.revr_opt_addr_line e ON e.revr_id = mr.revr_id AND e.addr_lne_type_code = 'E'  _x000D_
ORDER BY p.PROP_SEQ_NUM, rev_panl, score DESC, revr_last_name, revr_frst_name_x000D_
DROP TABLE #myProps _x000D_
DROP TABLE #myRevs _x000D_
</t>
  </si>
  <si>
    <t>CCfdata08/18</t>
  </si>
  <si>
    <t>Alex</t>
  </si>
  <si>
    <t>Chris</t>
  </si>
  <si>
    <t>Ding-Zhu</t>
  </si>
  <si>
    <t>Jianlin</t>
  </si>
  <si>
    <t>(blank)</t>
  </si>
  <si>
    <t>Anshul</t>
  </si>
  <si>
    <t>Andreas</t>
  </si>
  <si>
    <t>Rahul</t>
  </si>
  <si>
    <t>Paul</t>
  </si>
  <si>
    <t>Vivek</t>
  </si>
  <si>
    <t>Xiaobai</t>
  </si>
  <si>
    <t>Xueyu</t>
  </si>
  <si>
    <t>RS_revscores</t>
  </si>
  <si>
    <t xml:space="preserve">if object_id('tempdb.guest.revScores') is null _x000D_
  exec('create table tempdb.guest.revScores(yn char(5) primary key, string varchar(10), score real null) insert into tempdb.guest.revScores_x000D_
select ''NNNNN'', ''R'',  null  union all select ''NNNNY'', ''P'', 1 union all_x000D_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</si>
  <si>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SELECT pp.PANL_ID, pp.PROP_SEQ_NUM, pp.PROP_ID, _x000D_
pi.pi_last_name, pi.pi_frst_name,inst_shrt_name, p.prop_titl_txt, Lead, Scribe_x000D_
INTO #myProps _x000D_
FROM flp.PANL_PROP pp _x000D_
JOIN flp.prop_pars p ON p.prop_id = pp.PROP_ID AND (p.prop_id=isnull(p.lead_prop_id,p.prop_id))_x000D_
JOIN flp.pi_pars pi ON p.pi_id = pi.pi_id _x000D_
LEFT OUTER JOIN flp.inst inst ON p.inst_id = inst.inst_id_x000D_
LEFT OUTER JOIN flp.panl_asgn_view pa ON pa.prop_id = pp.PROP_ID AND pa.panl_id = @panl_id_x000D_
WHERE (pp.PANL_ID=@panl_id) _x000D_
ORDER BY pp.prop_id_x000D_
CREATE INDEX myProp_Idx ON #myProps(PROP_ID)_x000D_
_x000D_
SELECT p.prop_id, rp.revr_id, ra.rev_type_code, ra.rev_stts_code, ra.rev_sent_date,_x000D_
rp.rev_rtrn_date, rp.rev_subm_flag, rs.score, rs.string,rt.REV_PROP_TXT_FLDS, rt.revr_dclr_coi_ind, rt.CNFLCT_INTRST_TXT, rt.ADDL_SUGG_REVR,_x000D_
(SELECT max(pp.panl_id) FROM flp.panl_prop pp _x000D_
    JOIN flp.panl_revr pr ON pr.panl_id = pp.panl_id _x000D_
    WHERE pp.prop_id = p.prop_id AND pr.revr_id = rp.revr_id_x000D_
    ) AS rev_panl -- panel review is for; null for ad hocs_x000D_
INTO #myRevs_x000D_
FROM #myProps p_x000D_
JOIN flp.rev_prop rp ON rp.prop_id = p.PROP_ID _x000D_
JOIN tempdb.guest.revScores rs ON rs.yn = rp.rev_prop_rtng_ind_x000D_
LEFT OUTER JOIN flp.rev_prop_txt_flds rt ON rt.PROP_ID = rp.PROP_ID AND rt.revr_id = rp.revr_id_x000D_
LEFT OUTER JOIN flp.rev_prop_pars ra ON ra.prop_id = rp.prop_id AND ra.revr_id = rp.revr_id _x000D_
CREATE INDEX myRevs_Idx ON #myRevs(prop_id, revr_id)_x000D_
_x000D_
INSERT INTO #myRevs (prop_id, revr_id, rev_type_code, rev_stts_code, rev_sent_date, string, REV_PROP_TXT_FLDS, revr_dclr_coi_ind, CNFLCT_INTRST_TXT, ADDL_SUGG_REVR)_x000D_
SELECT p.prop_id, rpp.revr_id, rpp.rev_type_code, rpp.rev_stts_code, rpp.rev_sent_date, 'R' as string,rt.REV_PROP_TXT_FLDS, rt.revr_dclr_coi_ind, rt.CNFLCT_INTRST_TXT, rt.ADDL_SUGG_REVR_x000D_
FROM #myProps p_x000D_
JOIN flp.rev_prop_pars rpp ON rpp.prop_id = p.prop_id AND rev_stts_code &lt;&gt; 'D' -- drop declines not captured above_x000D_
     AND (rev_type_code &lt;&gt; 'P' OR rev_stts_code &lt;&gt; 'P') -- ignore pending from panelists; keep C,B,1,2,3 assignments_x000D_
JOIN flp.panl_revr pr ON pr.panl_id = p.panl_id AND pr.revr_id = rpp.revr_id -- must be on panel_x000D_
LEFT OUTER JOIN flp.rev_prop_txt_flds rt ON rt.PROP_ID = p.PROP_ID AND rt.revr_id = rpp.revr_id_x000D_
WHERE NOT EXISTS (SELECT * FROM #myRevs rp _x000D_
                    WHERE rpp.prop_id = rp.prop_id AND rpp.revr_id = rp.revr_id)_x000D_
_x000D_
INSERT INTO #myRevs --(prop_id, revr_id, rev_type_code, rev_stts_code, rev_sent_date, string, REV_PROP_TXT_FLDS, revr_dclr_coi_ind, CNFLCT_INTRST_TXT, ADDL_SUGG_REVR)_x000D_
SELECT p.prop_id, rp.revr_id, ra.rev_type_code, ra.rev_stts_code, ra.rev_sent_date,_x000D_
rp.rev_rtrn_date, rp.rev_subm_flag, rs.score, rs.string,rt.REV_PROP_TXT_FLDS, rt.revr_dclr_coi_ind, rt.CNFLCT_INTRST_TXT, rt.ADDL_SUGG_REVR, 'Saved' as rev_panl_x000D_
FROM #myProps p_x000D_
JOIN flp.rev_prop_wp rp ON rp.prop_id = p.PROP_ID _x000D_
JOIN tempdb.guest.revScores rs ON rs.yn = rp.rev_prop_rtng_ind_x000D_
LEFT OUTER JOIN flp.rev_prop_txt_flds_wp rt ON rt.PROP_ID = rp.PROP_ID AND rt.revr_id = rp.revr_id_x000D_
LEFT OUTER JOIN flp.rev_prop_pars ra ON ra.prop_id = rp.prop_id AND ra.revr_id = rp.revr_id _x000D_
WHERE NOT EXISTS (SELECT * FROM #myRevs mr_x000D_
                    WHERE rp.prop_id = mr.prop_id AND rp.revr_id = mr.revr_id)_x000D_
_x000D_
SELECT p.panl_id,p.PROP_SEQ_NUM, _x000D_
pi_last_name, pi_frst_name,inst_shrt_name, prop_titl_txt,_x000D_
(SELECT count(*) FROM #myRevs ra WHERE ra.prop_id = mr.prop_id AND rev_stts_code = 'C') AS nCOI,_x000D_
mr.*, _x000D_
CASE WHEN mr.rev_stts_code = 'C'THEN 'Conflict' -- conflicted may or may not have returned a review_x000D_
     WHEN mr.rev_rtrn_date is null THEN 'Assigned' -- can assume assigned if no review and not conflicted_x000D_
     WHEN mr.string = 'R' THEN 'Remarks' -- remarks only reviews_x000D_
     WHEN mr.rev_panl = p.panl_id THEN 'Rcvd Panel' -- recieved review on this panel_x000D_
     WHEN mr.rev_panl is null THEN 'Rcvd Adhoc' -- received ad hoc_x000D_
     ELSE mr.rev_panl END AS rType, --received review from other panel_x000D_
Lead,(select revr_last_name FROM flp.revr_pars WHERE revr_id = p.Lead) AS Lead_name, _x000D_
Scribe, (select revr_last_name FROM flp.revr_pars WHERE revr_id = p.Scribe) AS Scribe_name,_x000D_
r.revr_last_name, r.revr_frst_name,e.revr_addr_txt AS email_x000D_
FROM #myRevs mr_x000D_
JOIN #myProps p ON p.prop_id = mr.prop_id_x000D_
JOIN flp.revr_pars r ON r.revr_id = mr.REVR_ID_x000D_
LEFT OUTER JOIN rptdb.csd.revr_opt_addr_line e ON e.revr_id = mr.revr_id AND e.addr_lne_type_code = 'E'  _x000D_
_x000D_
ORDER BY p.PROP_SEQ_NUM, rev_panl, score DESC, revr_last_name, revr_frst_name_x000D_
DROP TABLE #myProps _x000D_
DROP TABLE #myRevs _x000D_
</t>
  </si>
  <si>
    <t>p1888888</t>
  </si>
  <si>
    <t>Click row number, move to right of cell for 4 arrow + to drag rows and experiment with discussion order.  Set sequence in myNSF.</t>
  </si>
  <si>
    <t xml:space="preserve">Note: Anon tab can print/make pdf of  individualized discussion order, hiding conflicted projects.  </t>
  </si>
  <si>
    <t>Set A2 to 1, then ctrl-P to save + print</t>
  </si>
  <si>
    <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</si>
</sst>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00"/>
    <numFmt numFmtId="165" formatCode="mm/dd/yy;@"/>
    <numFmt numFmtId="166" formatCode="0.0"/>
    <numFmt numFmtId="167" formatCode="0.00;[Red]0.00"/>
    <numFmt numFmtId="168" formatCode="0;[Red]0"/>
    <numFmt numFmtId="169" formatCode="m/d/yy;@"/>
    <numFmt numFmtId="170" formatCode="mm/dd/yy\ hh:mm"/>
    <numFmt numFmtId="171" formatCode=";;;**********"/>
  </numFmts>
  <fonts count="11" x14ac:knownFonts="1">
    <font>
      <sz val="11"/>
      <color theme="1"/>
      <name val="Calibri"/>
      <family val="2"/>
      <scheme val="minor"/>
    </font>
    <font>
      <sz val="11"/>
      <color theme="5" tint="-0.499984740745262"/>
      <name val="Calibri"/>
      <family val="2"/>
      <scheme val="minor"/>
    </font>
    <font>
      <sz val="11"/>
      <color rgb="FFFF0000"/>
      <name val="Calibri"/>
      <family val="2"/>
      <scheme val="minor"/>
    </font>
    <font>
      <sz val="11"/>
      <color rgb="FF000000"/>
      <name val="Calibri"/>
      <family val="2"/>
    </font>
    <font>
      <b/>
      <sz val="11"/>
      <color theme="0"/>
      <name val="Calibri"/>
      <family val="2"/>
      <scheme val="minor"/>
    </font>
    <font>
      <b/>
      <sz val="11"/>
      <color theme="1"/>
      <name val="Calibri"/>
      <family val="2"/>
      <scheme val="minor"/>
    </font>
    <font>
      <sz val="26"/>
      <color theme="1"/>
      <name val="Calibri"/>
      <family val="2"/>
      <scheme val="minor"/>
    </font>
    <font>
      <sz val="11"/>
      <color theme="0" tint="-0.34998626667073579"/>
      <name val="Calibri"/>
      <family val="2"/>
      <scheme val="minor"/>
    </font>
    <font>
      <sz val="11"/>
      <color rgb="FF000000"/>
      <name val="Calibri"/>
      <family val="2"/>
      <scheme val="minor"/>
    </font>
    <font>
      <sz val="11"/>
      <color rgb="FFC00000"/>
      <name val="Calibri"/>
      <family val="2"/>
      <scheme val="minor"/>
    </font>
    <font>
      <u/>
      <sz val="11"/>
      <color theme="10"/>
      <name val="Calibri"/>
      <family val="2"/>
      <scheme val="minor"/>
    </font>
  </fonts>
  <fills count="3">
    <fill>
      <patternFill patternType="none"/>
    </fill>
    <fill>
      <patternFill patternType="gray125"/>
    </fill>
    <fill>
      <patternFill patternType="solid">
        <fgColor theme="6"/>
        <bgColor theme="6"/>
      </patternFill>
    </fill>
  </fills>
  <borders count="5">
    <border>
      <left/>
      <right/>
      <top/>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1">
    <xf numFmtId="0" fontId="0" fillId="0" borderId="0"/>
  </cellStyleXfs>
  <cellXfs count="53">
    <xf numFmtId="0" fontId="0" fillId="0" borderId="0" xfId="0"/>
    <xf numFmtId="0" fontId="0" fillId="0" borderId="0" xfId="0" applyAlignment="1">
      <alignment vertical="top"/>
    </xf>
    <xf numFmtId="0" fontId="0" fillId="0" borderId="0" xfId="0" applyNumberFormat="1" applyAlignment="1">
      <alignment vertical="top" wrapText="1"/>
    </xf>
    <xf numFmtId="0" fontId="0" fillId="0" borderId="0" xfId="0" applyAlignment="1">
      <alignment vertical="top" wrapText="1"/>
    </xf>
    <xf numFmtId="0" fontId="1" fillId="0" borderId="0" xfId="0" applyFont="1" applyAlignment="1">
      <alignment vertical="top"/>
    </xf>
    <xf numFmtId="0"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0" fontId="0" fillId="0" borderId="0" xfId="0" applyNumberFormat="1" applyAlignment="1">
      <alignment vertical="top"/>
    </xf>
    <xf numFmtId="0" fontId="0" fillId="0" borderId="0" xfId="0" applyNumberFormat="1" applyAlignment="1">
      <alignment vertical="top" wrapText="1"/>
    </xf>
    <xf numFmtId="0" fontId="0" fillId="0" borderId="0" xfId="0" applyAlignment="1">
      <alignment textRotation="90"/>
    </xf>
    <xf numFmtId="0" fontId="0" fillId="0" borderId="0" xfId="0" applyAlignment="1">
      <alignment wrapText="1"/>
    </xf>
    <xf numFmtId="2" fontId="0" fillId="0" borderId="0" xfId="0" applyNumberFormat="1" applyAlignment="1">
      <alignment wrapText="1"/>
    </xf>
    <xf numFmtId="164" fontId="0" fillId="0" borderId="0" xfId="0" applyNumberFormat="1" applyAlignment="1">
      <alignment wrapText="1"/>
    </xf>
    <xf numFmtId="166" fontId="0" fillId="0" borderId="0" xfId="0" applyNumberFormat="1"/>
    <xf numFmtId="0" fontId="0" fillId="0" borderId="0" xfId="0" applyAlignment="1"/>
    <xf numFmtId="1" fontId="0" fillId="0" borderId="0" xfId="0" applyNumberFormat="1"/>
    <xf numFmtId="167" fontId="0" fillId="0" borderId="0" xfId="0" applyNumberFormat="1"/>
    <xf numFmtId="168" fontId="0" fillId="0" borderId="0" xfId="0" applyNumberFormat="1"/>
    <xf numFmtId="0" fontId="0" fillId="0" borderId="0" xfId="0" applyNumberFormat="1" applyAlignment="1">
      <alignment vertical="top" wrapText="1"/>
    </xf>
    <xf numFmtId="169" fontId="0" fillId="0" borderId="0" xfId="0" applyNumberFormat="1" applyAlignment="1">
      <alignment vertical="top"/>
    </xf>
    <xf numFmtId="170" fontId="0" fillId="0" borderId="0" xfId="0" applyNumberFormat="1" applyAlignment="1">
      <alignment vertical="top"/>
    </xf>
    <xf numFmtId="168" fontId="0" fillId="0" borderId="0" xfId="0" applyNumberFormat="1" applyAlignment="1">
      <alignment vertical="top"/>
    </xf>
    <xf numFmtId="165" fontId="0" fillId="0" borderId="0" xfId="0" applyNumberFormat="1" applyBorder="1"/>
    <xf numFmtId="165" fontId="0" fillId="0" borderId="1" xfId="0" applyNumberFormat="1" applyBorder="1" applyAlignment="1">
      <alignment vertical="center"/>
    </xf>
    <xf numFmtId="0" fontId="1" fillId="0" borderId="0" xfId="0" applyFont="1" applyAlignment="1">
      <alignment vertical="center"/>
    </xf>
    <xf numFmtId="0" fontId="0" fillId="0" borderId="0" xfId="0" applyAlignment="1">
      <alignment horizontal="center" textRotation="90"/>
    </xf>
    <xf numFmtId="168" fontId="0" fillId="0" borderId="0" xfId="0" applyNumberFormat="1" applyAlignment="1">
      <alignment horizontal="center" vertical="top"/>
    </xf>
    <xf numFmtId="0" fontId="0" fillId="0" borderId="0" xfId="0" applyAlignment="1">
      <alignment horizontal="center" vertical="top"/>
    </xf>
    <xf numFmtId="0" fontId="5" fillId="0" borderId="0" xfId="0" applyFont="1"/>
    <xf numFmtId="0" fontId="0" fillId="0" borderId="0" xfId="0" applyAlignment="1">
      <alignment horizontal="center"/>
    </xf>
    <xf numFmtId="0" fontId="0" fillId="0" borderId="0" xfId="0" pivotButton="1" applyAlignment="1">
      <alignment horizontal="center"/>
    </xf>
    <xf numFmtId="0" fontId="0" fillId="0" borderId="0" xfId="0" applyAlignment="1">
      <alignment horizontal="right"/>
    </xf>
    <xf numFmtId="0" fontId="6" fillId="0" borderId="0" xfId="0" applyFont="1" applyAlignment="1">
      <alignment vertical="center"/>
    </xf>
    <xf numFmtId="0" fontId="7" fillId="0" borderId="0" xfId="0" applyFont="1"/>
    <xf numFmtId="0" fontId="0" fillId="0" borderId="0" xfId="0" applyAlignment="1">
      <alignment horizontal="center" wrapText="1"/>
    </xf>
    <xf numFmtId="0" fontId="0" fillId="0" borderId="0" xfId="0" applyProtection="1">
      <protection locked="0"/>
    </xf>
    <xf numFmtId="0" fontId="0" fillId="0" borderId="0" xfId="0" applyAlignment="1" applyProtection="1">
      <alignment horizontal="right"/>
      <protection locked="0"/>
    </xf>
    <xf numFmtId="171" fontId="0" fillId="0" borderId="0" xfId="0" applyNumberFormat="1" applyProtection="1">
      <protection locked="0" hidden="1"/>
    </xf>
    <xf numFmtId="0" fontId="4" fillId="2" borderId="2" xfId="0" applyFont="1" applyFill="1" applyBorder="1"/>
    <xf numFmtId="0" fontId="4" fillId="2" borderId="3" xfId="0" applyFont="1" applyFill="1" applyBorder="1"/>
    <xf numFmtId="0" fontId="4" fillId="2" borderId="4" xfId="0" applyFont="1" applyFill="1" applyBorder="1"/>
    <xf numFmtId="22" fontId="0" fillId="0" borderId="0" xfId="0" applyNumberFormat="1" applyProtection="1">
      <protection locked="0"/>
    </xf>
    <xf numFmtId="0" fontId="0" fillId="0" borderId="0" xfId="0" applyAlignment="1" applyProtection="1">
      <alignment wrapText="1"/>
      <protection locked="0"/>
    </xf>
    <xf numFmtId="0" fontId="8" fillId="0" borderId="0" xfId="0" applyFont="1" applyAlignment="1">
      <alignment vertical="center"/>
    </xf>
    <xf numFmtId="0" fontId="9" fillId="0" borderId="0" xfId="0" applyFont="1"/>
    <xf numFmtId="0" fontId="10" fillId="0" borderId="0" xfId="0" applyNumberFormat="1" applyFont="1"/>
    <xf numFmtId="167" fontId="0" fillId="0" borderId="0" xfId="0" applyNumberFormat="1" applyAlignment="1">
      <alignment horizontal="left"/>
    </xf>
    <xf numFmtId="168" fontId="0" fillId="0" borderId="0" xfId="0" applyNumberFormat="1" applyAlignment="1">
      <alignment horizontal="left"/>
    </xf>
    <xf numFmtId="0" fontId="5" fillId="0" borderId="0" xfId="0" applyFont="1" applyAlignment="1">
      <alignment vertical="top" textRotation="90"/>
    </xf>
    <xf numFmtId="0" fontId="0" fillId="0" borderId="0" xfId="0" applyNumberFormat="1" applyAlignment="1">
      <alignment vertical="top" wrapText="1"/>
    </xf>
  </cellXfs>
  <cellStyles count="1">
    <cellStyle name="Normal" xfId="0" builtinId="0"/>
  </cellStyles>
  <dxfs count="110">
    <dxf>
      <font>
        <b val="0"/>
        <i val="0"/>
        <strike val="0"/>
        <condense val="0"/>
        <extend val="0"/>
        <outline val="0"/>
        <shadow val="0"/>
        <u/>
        <vertAlign val="baseline"/>
        <sz val="11"/>
        <color theme="10"/>
        <name val="Calibri"/>
        <family val="2"/>
        <scheme val="minor"/>
      </font>
      <numFmt numFmtId="0" formatCode="General"/>
    </dxf>
    <dxf>
      <font>
        <b/>
        <i val="0"/>
        <strike val="0"/>
        <condense val="0"/>
        <extend val="0"/>
        <outline val="0"/>
        <shadow val="0"/>
        <u val="none"/>
        <vertAlign val="baseline"/>
        <sz val="11"/>
        <color theme="1"/>
        <name val="Calibri"/>
        <family val="2"/>
        <scheme val="minor"/>
      </font>
    </dxf>
    <dxf>
      <font>
        <color theme="7" tint="0.79998168889431442"/>
      </font>
      <fill>
        <patternFill>
          <bgColor theme="7" tint="0.79998168889431442"/>
        </patternFill>
      </fill>
    </dxf>
    <dxf>
      <font>
        <color rgb="FFFF0000"/>
      </font>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ont>
        <color theme="0"/>
      </font>
    </dxf>
    <dxf>
      <fill>
        <patternFill>
          <bgColor theme="9" tint="0.79998168889431442"/>
        </patternFill>
      </fill>
    </dxf>
    <dxf>
      <alignment horizontal="general" vertical="top" textRotation="0" wrapText="0" indent="0" justifyLastLine="0" shrinkToFit="0" readingOrder="0"/>
    </dxf>
    <dxf>
      <alignment horizontal="general" vertical="top" textRotation="0" wrapText="0" indent="0" justifyLastLine="0" shrinkToFit="0" readingOrder="0"/>
    </dxf>
    <dxf>
      <numFmt numFmtId="169" formatCode="m/d/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168" formatCode="0;[Red]0"/>
      <alignment horizontal="center" vertical="top" textRotation="0" wrapText="0" indent="0" justifyLastLine="0" shrinkToFit="0" readingOrder="0"/>
    </dxf>
    <dxf>
      <alignment horizontal="center"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70" formatCode="mm/dd/yy\ hh:mm"/>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numFmt numFmtId="2" formatCode="0.00"/>
    </dxf>
    <dxf>
      <numFmt numFmtId="1" formatCode="0"/>
    </dxf>
    <dxf>
      <alignment wrapText="1"/>
    </dxf>
    <dxf>
      <numFmt numFmtId="167" formatCode="0.00;[Red]0.00"/>
    </dxf>
    <dxf>
      <numFmt numFmtId="172" formatCode="0.0;[Red]0.0"/>
    </dxf>
    <dxf>
      <numFmt numFmtId="168" formatCode="0;[Red]0"/>
    </dxf>
    <dxf>
      <alignment wrapText="1"/>
    </dxf>
    <dxf>
      <alignment horizontal="center"/>
    </dxf>
    <dxf>
      <alignment wrapText="1"/>
    </dxf>
    <dxf>
      <alignment textRotation="90"/>
    </dxf>
    <dxf>
      <alignment horizontal="center" readingOrder="0"/>
    </dxf>
    <dxf>
      <alignment horizontal="center" readingOrder="0"/>
    </dxf>
    <dxf>
      <numFmt numFmtId="2" formatCode="0.00"/>
    </dxf>
    <dxf>
      <numFmt numFmtId="164" formatCode="0.000"/>
    </dxf>
    <dxf>
      <numFmt numFmtId="2" formatCode="0.00"/>
    </dxf>
    <dxf>
      <numFmt numFmtId="166" formatCode="0.0"/>
    </dxf>
    <dxf>
      <numFmt numFmtId="1" formatCode="0"/>
    </dxf>
    <dxf>
      <numFmt numFmtId="166" formatCode="0.0"/>
    </dxf>
    <dxf>
      <numFmt numFmtId="2" formatCode="0.00"/>
    </dxf>
    <dxf>
      <numFmt numFmtId="166" formatCode="0.0"/>
    </dxf>
    <dxf>
      <alignment wrapText="1"/>
    </dxf>
    <dxf>
      <numFmt numFmtId="0" formatCode="General"/>
    </dxf>
    <dxf>
      <alignment wrapText="1"/>
    </dxf>
    <dxf>
      <numFmt numFmtId="167" formatCode="0.00;[Red]0.00"/>
    </dxf>
    <dxf>
      <numFmt numFmtId="172" formatCode="0.0;[Red]0.0"/>
    </dxf>
    <dxf>
      <numFmt numFmtId="168" formatCode="0;[Red]0"/>
    </dxf>
    <dxf>
      <numFmt numFmtId="166" formatCode="0.0"/>
    </dxf>
    <dxf>
      <numFmt numFmtId="2" formatCode="0.00"/>
    </dxf>
    <dxf>
      <numFmt numFmtId="166" formatCode="0.0"/>
    </dxf>
    <dxf>
      <alignment wrapText="1"/>
    </dxf>
    <dxf>
      <numFmt numFmtId="164" formatCode="0.000"/>
    </dxf>
    <dxf>
      <numFmt numFmtId="164" formatCode="0.000"/>
    </dxf>
    <dxf>
      <numFmt numFmtId="2" formatCode="0.00"/>
    </dxf>
    <dxf>
      <numFmt numFmtId="2" formatCode="0.00"/>
    </dxf>
    <dxf>
      <alignment horizontal="left"/>
    </dxf>
    <dxf>
      <alignment vertical="bottom"/>
    </dxf>
    <dxf>
      <alignment vertical="bottom"/>
    </dxf>
    <dxf>
      <alignment horizontal="center"/>
    </dxf>
    <dxf>
      <alignment horizontal="center"/>
    </dxf>
    <dxf>
      <alignment vertical="center"/>
    </dxf>
    <dxf>
      <alignment vertical="center"/>
    </dxf>
    <dxf>
      <numFmt numFmtId="167" formatCode="0.00;[Red]0.00"/>
    </dxf>
    <dxf>
      <numFmt numFmtId="172" formatCode="0.0;[Red]0.0"/>
    </dxf>
    <dxf>
      <numFmt numFmtId="167" formatCode="0.00;[Red]0.00"/>
    </dxf>
    <dxf>
      <numFmt numFmtId="172" formatCode="0.0;[Red]0.0"/>
    </dxf>
    <dxf>
      <numFmt numFmtId="168" formatCode="0;[Red]0"/>
    </dxf>
    <dxf>
      <numFmt numFmtId="2" formatCode="0.00"/>
    </dxf>
    <dxf>
      <numFmt numFmtId="164" formatCode="0.000"/>
    </dxf>
    <dxf>
      <numFmt numFmtId="2" formatCode="0.00"/>
    </dxf>
    <dxf>
      <numFmt numFmtId="166" formatCode="0.0"/>
    </dxf>
    <dxf>
      <numFmt numFmtId="1" formatCode="0"/>
    </dxf>
    <dxf>
      <numFmt numFmtId="166" formatCode="0.0"/>
    </dxf>
    <dxf>
      <numFmt numFmtId="2" formatCode="0.00"/>
    </dxf>
    <dxf>
      <numFmt numFmtId="166" formatCode="0.0"/>
    </dxf>
    <dxf>
      <alignment wrapText="1"/>
    </dxf>
    <dxf>
      <alignment textRotation="90"/>
    </dxf>
    <dxf>
      <alignment wrapText="1"/>
    </dxf>
    <dxf>
      <numFmt numFmtId="168" formatCode="0;[Red]0"/>
    </dxf>
    <dxf>
      <numFmt numFmtId="167" formatCode="0.00;[Red]0.00"/>
    </dxf>
    <dxf>
      <numFmt numFmtId="1" formatCode="0"/>
    </dxf>
    <dxf>
      <numFmt numFmtId="2" formatCode="0.00"/>
    </dxf>
    <dxf>
      <numFmt numFmtId="164" formatCode="0.000"/>
    </dxf>
    <dxf>
      <numFmt numFmtId="2" formatCode="0.00"/>
    </dxf>
    <dxf>
      <numFmt numFmtId="166" formatCode="0.0"/>
    </dxf>
    <dxf>
      <numFmt numFmtId="1" formatCode="0"/>
    </dxf>
    <dxf>
      <numFmt numFmtId="166" formatCode="0.0"/>
    </dxf>
    <dxf>
      <numFmt numFmtId="2" formatCode="0.00"/>
    </dxf>
    <dxf>
      <numFmt numFmtId="166" formatCode="0.0"/>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xdr:row>
          <xdr:rowOff>19050</xdr:rowOff>
        </xdr:from>
        <xdr:to>
          <xdr:col>0</xdr:col>
          <xdr:colOff>942975</xdr:colOff>
          <xdr:row>1</xdr:row>
          <xdr:rowOff>323850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9525</xdr:rowOff>
        </xdr:from>
        <xdr:to>
          <xdr:col>2</xdr:col>
          <xdr:colOff>123825</xdr:colOff>
          <xdr:row>1</xdr:row>
          <xdr:rowOff>314325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MailMerge Revs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noeyink, Jack S." refreshedDate="43277.755116319444" missingItemsLimit="0" createdVersion="5" refreshedVersion="6" minRefreshableVersion="3" recordCount="1">
  <cacheSource type="worksheet">
    <worksheetSource name="AllReviewsTable"/>
  </cacheSource>
  <cacheFields count="31">
    <cacheField name="panl_id" numFmtId="0">
      <sharedItems containsNonDate="0" containsString="0" containsBlank="1"/>
    </cacheField>
    <cacheField name="PROP_SEQ_NUM" numFmtId="0">
      <sharedItems containsNonDate="0" containsString="0" containsBlank="1" count="1">
        <m/>
      </sharedItems>
    </cacheField>
    <cacheField name="prop_id" numFmtId="0">
      <sharedItems containsNonDate="0" containsString="0" containsBlank="1" count="1">
        <m/>
      </sharedItems>
    </cacheField>
    <cacheField name="pi_last_name" numFmtId="0">
      <sharedItems containsNonDate="0" containsString="0" containsBlank="1" count="1">
        <m/>
      </sharedItems>
    </cacheField>
    <cacheField name="pi_frst_name" numFmtId="0">
      <sharedItems containsNonDate="0" containsString="0" containsBlank="1"/>
    </cacheField>
    <cacheField name="inst_shrt_name" numFmtId="0">
      <sharedItems containsNonDate="0" containsString="0" containsBlank="1" count="1">
        <m/>
      </sharedItems>
    </cacheField>
    <cacheField name="prop_titl_txt" numFmtId="0">
      <sharedItems containsNonDate="0" containsString="0" containsBlank="1" count="1">
        <m/>
      </sharedItems>
    </cacheField>
    <cacheField name="Lead" numFmtId="0">
      <sharedItems containsNonDate="0" containsString="0" containsBlank="1"/>
    </cacheField>
    <cacheField name="Lead_name" numFmtId="0">
      <sharedItems containsNonDate="0" containsString="0" containsBlank="1"/>
    </cacheField>
    <cacheField name="Scribe" numFmtId="0">
      <sharedItems containsNonDate="0" containsString="0" containsBlank="1"/>
    </cacheField>
    <cacheField name="Scribe_name" numFmtId="0">
      <sharedItems containsNonDate="0" containsString="0" containsBlank="1" count="1">
        <m/>
      </sharedItems>
    </cacheField>
    <cacheField name="nCOI" numFmtId="0">
      <sharedItems containsNonDate="0" containsString="0" containsBlank="1" count="1">
        <m/>
      </sharedItems>
    </cacheField>
    <cacheField name="revr_id" numFmtId="0">
      <sharedItems containsNonDate="0" containsString="0" containsBlank="1"/>
    </cacheField>
    <cacheField name="revr_last_name" numFmtId="0">
      <sharedItems containsNonDate="0" containsString="0" containsBlank="1" count="1">
        <m/>
      </sharedItems>
    </cacheField>
    <cacheField name="revr_frst_name" numFmtId="0">
      <sharedItems containsNonDate="0" containsString="0" containsBlank="1"/>
    </cacheField>
    <cacheField name="email" numFmtId="0">
      <sharedItems containsNonDate="0" containsString="0" containsBlank="1" count="1">
        <m/>
      </sharedItems>
    </cacheField>
    <cacheField name="rev_rtrn_date" numFmtId="170">
      <sharedItems containsNonDate="0" containsString="0" containsBlank="1"/>
    </cacheField>
    <cacheField name="rev_subm_flag" numFmtId="0">
      <sharedItems containsNonDate="0" containsString="0" containsBlank="1"/>
    </cacheField>
    <cacheField name="rev_type_code" numFmtId="0">
      <sharedItems containsNonDate="0" containsString="0" containsBlank="1"/>
    </cacheField>
    <cacheField name="rev_stts_code" numFmtId="0">
      <sharedItems containsNonDate="0" containsString="0" containsBlank="1"/>
    </cacheField>
    <cacheField name="rType" numFmtId="0">
      <sharedItems containsNonDate="0" containsString="0" containsBlank="1" count="1">
        <m/>
      </sharedItems>
    </cacheField>
    <cacheField name="string" numFmtId="0">
      <sharedItems containsNonDate="0" containsString="0" containsBlank="1"/>
    </cacheField>
    <cacheField name="score0" numFmtId="168">
      <sharedItems containsNonDate="0" containsString="0" containsBlank="1"/>
    </cacheField>
    <cacheField name="nWords" numFmtId="0">
      <sharedItems containsNonDate="0" containsString="0" containsBlank="1"/>
    </cacheField>
    <cacheField name="REV_PROP_TXT_FLDS" numFmtId="0">
      <sharedItems containsNonDate="0" containsString="0" containsBlank="1"/>
    </cacheField>
    <cacheField name="revr_dclr_coi_ind" numFmtId="0">
      <sharedItems containsNonDate="0" containsString="0" containsBlank="1"/>
    </cacheField>
    <cacheField name="ADDL_SUGG_REVR" numFmtId="0">
      <sharedItems containsNonDate="0" containsString="0" containsBlank="1"/>
    </cacheField>
    <cacheField name="CNFLCT_INTRST_TXT" numFmtId="0">
      <sharedItems containsNonDate="0" containsString="0" containsBlank="1"/>
    </cacheField>
    <cacheField name="rev_sent_date" numFmtId="169">
      <sharedItems containsNonDate="0" containsString="0" containsBlank="1"/>
    </cacheField>
    <cacheField name="rev_panl" numFmtId="0">
      <sharedItems containsNonDate="0" containsString="0" containsBlank="1"/>
    </cacheField>
    <cacheField name="scor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x v="0"/>
    <x v="0"/>
    <x v="0"/>
    <m/>
    <x v="0"/>
    <x v="0"/>
    <m/>
    <m/>
    <m/>
    <x v="0"/>
    <x v="0"/>
    <m/>
    <x v="0"/>
    <m/>
    <x v="0"/>
    <m/>
    <m/>
    <m/>
    <m/>
    <x v="0"/>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72" applyNumberFormats="0" applyBorderFormats="0" applyFontFormats="0" applyPatternFormats="0" applyAlignmentFormats="0" applyWidthHeightFormats="1" dataCaption="Values" updatedVersion="6" minRefreshableVersion="3" itemPrintTitles="1" createdVersion="5" indent="0" outline="1" outlineData="1" multipleFieldFilters="0">
  <location ref="A6:K8" firstHeaderRow="0" firstDataRow="1" firstDataCol="2" rowPageCount="1" colPageCount="1"/>
  <pivotFields count="31">
    <pivotField showAll="0"/>
    <pivotField showAll="0" defaultSubtotal="0"/>
    <pivotField dataField="1" showAll="0"/>
    <pivotField showAll="0"/>
    <pivotField showAll="0"/>
    <pivotField showAll="0" defaultSubtotal="0"/>
    <pivotField showAll="0"/>
    <pivotField showAll="0" defaultSubtotal="0"/>
    <pivotField showAll="0" defaultSubtotal="0"/>
    <pivotField showAll="0" defaultSubtotal="0"/>
    <pivotField showAll="0" defaultSubtotal="0"/>
    <pivotField showAll="0" defaultSubtotal="0"/>
    <pivotField showAll="0" sortType="descending">
      <autoSortScope>
        <pivotArea dataOnly="0" outline="0" fieldPosition="0">
          <references count="1">
            <reference field="4294967294" count="1" selected="0">
              <x v="6"/>
            </reference>
          </references>
        </pivotArea>
      </autoSortScope>
    </pivotField>
    <pivotField axis="axisRow" outline="0" showAll="0" sortType="descending" defaultSubtotal="0">
      <items count="1">
        <item x="0"/>
      </items>
      <autoSortScope>
        <pivotArea dataOnly="0" outline="0" fieldPosition="0">
          <references count="1">
            <reference field="4294967294" count="1" selected="0">
              <x v="2"/>
            </reference>
          </references>
        </pivotArea>
      </autoSortScope>
    </pivotField>
    <pivotField showAll="0"/>
    <pivotField axis="axisRow" showAll="0" defaultSubtotal="0">
      <items count="1">
        <item x="0"/>
      </items>
    </pivotField>
    <pivotField numFmtId="22" multipleItemSelectionAllowed="1" showAll="0"/>
    <pivotField showAll="0"/>
    <pivotField showAll="0" defaultSubtotal="0"/>
    <pivotField showAll="0" defaultSubtotal="0"/>
    <pivotField axis="axisPage" multipleItemSelectionAllowed="1" showAll="0" defaultSubtotal="0">
      <items count="1">
        <item x="0"/>
      </items>
    </pivotField>
    <pivotField multipleItemSelectionAllowed="1" showAll="0" defaultSubtotal="0"/>
    <pivotField dataField="1" showAll="0" defaultSubtotal="0"/>
    <pivotField dataField="1" showAll="0"/>
    <pivotField showAll="0"/>
    <pivotField showAll="0"/>
    <pivotField showAll="0"/>
    <pivotField showAll="0"/>
    <pivotField numFmtId="22" showAll="0" defaultSubtotal="0"/>
    <pivotField showAll="0" defaultSubtotal="0"/>
    <pivotField showAll="0" defaultSubtotal="0"/>
  </pivotFields>
  <rowFields count="2">
    <field x="13"/>
    <field x="15"/>
  </rowFields>
  <rowItems count="2">
    <i>
      <x/>
      <x/>
    </i>
    <i t="grand">
      <x/>
    </i>
  </rowItems>
  <colFields count="1">
    <field x="-2"/>
  </colFields>
  <colItems count="9">
    <i>
      <x/>
    </i>
    <i i="1">
      <x v="1"/>
    </i>
    <i i="2">
      <x v="2"/>
    </i>
    <i i="3">
      <x v="3"/>
    </i>
    <i i="4">
      <x v="4"/>
    </i>
    <i i="5">
      <x v="5"/>
    </i>
    <i i="6">
      <x v="6"/>
    </i>
    <i i="7">
      <x v="7"/>
    </i>
    <i i="8">
      <x v="8"/>
    </i>
  </colItems>
  <pageFields count="1">
    <pageField fld="20" hier="-1"/>
  </pageFields>
  <dataFields count="9">
    <dataField name="nprop" fld="2" subtotal="count" baseField="0" baseItem="0"/>
    <dataField name="Min scor" fld="22" subtotal="min" baseField="8" baseItem="1" numFmtId="168"/>
    <dataField name="Avg score" fld="22" subtotal="average" baseField="8" baseItem="1" numFmtId="167"/>
    <dataField name="Max scor" fld="22" subtotal="max" baseField="8" baseItem="1" numFmtId="168"/>
    <dataField name="SDev score" fld="22" subtotal="stdDev" baseField="8" baseItem="1"/>
    <dataField name="Min  nwrds" fld="23" subtotal="min" baseField="0" baseItem="1"/>
    <dataField name="Avg nwrds" fld="23" subtotal="average" baseField="0" baseItem="0" numFmtId="166"/>
    <dataField name="Max nwrds" fld="23" subtotal="max" baseField="0" baseItem="1"/>
    <dataField name="SDev nwrds" fld="23" subtotal="stdDevp" baseField="8" baseItem="28" numFmtId="166"/>
  </dataFields>
  <formats count="12">
    <format dxfId="74">
      <pivotArea outline="0" collapsedLevelsAreSubtotals="1" fieldPosition="0">
        <references count="1">
          <reference field="4294967294" count="1" selected="0">
            <x v="6"/>
          </reference>
        </references>
      </pivotArea>
    </format>
    <format dxfId="73">
      <pivotArea dataOnly="0" labelOnly="1" outline="0" fieldPosition="0">
        <references count="1">
          <reference field="4294967294" count="1">
            <x v="6"/>
          </reference>
        </references>
      </pivotArea>
    </format>
    <format dxfId="72">
      <pivotArea outline="0" collapsedLevelsAreSubtotals="1" fieldPosition="0">
        <references count="1">
          <reference field="4294967294" count="1" selected="0">
            <x v="8"/>
          </reference>
        </references>
      </pivotArea>
    </format>
    <format dxfId="71">
      <pivotArea dataOnly="0" labelOnly="1" outline="0" fieldPosition="0">
        <references count="1">
          <reference field="4294967294" count="1">
            <x v="8"/>
          </reference>
        </references>
      </pivotArea>
    </format>
    <format dxfId="70">
      <pivotArea dataOnly="0" labelOnly="1" outline="0" fieldPosition="0">
        <references count="1">
          <reference field="4294967294" count="5">
            <x v="0"/>
            <x v="5"/>
            <x v="6"/>
            <x v="7"/>
            <x v="8"/>
          </reference>
        </references>
      </pivotArea>
    </format>
    <format dxfId="69">
      <pivotArea outline="0" collapsedLevelsAreSubtotals="1" fieldPosition="0">
        <references count="1">
          <reference field="4294967294" count="1" selected="0">
            <x v="6"/>
          </reference>
        </references>
      </pivotArea>
    </format>
    <format dxfId="68">
      <pivotArea outline="0" collapsedLevelsAreSubtotals="1" fieldPosition="0">
        <references count="1">
          <reference field="4294967294" count="1" selected="0">
            <x v="8"/>
          </reference>
        </references>
      </pivotArea>
    </format>
    <format dxfId="67">
      <pivotArea outline="0" collapsedLevelsAreSubtotals="1" fieldPosition="0">
        <references count="1">
          <reference field="4294967294" count="1" selected="0">
            <x v="8"/>
          </reference>
        </references>
      </pivotArea>
    </format>
    <format dxfId="66">
      <pivotArea outline="0" collapsedLevelsAreSubtotals="1" fieldPosition="0">
        <references count="1">
          <reference field="4294967294" count="3" selected="0">
            <x v="1"/>
            <x v="2"/>
            <x v="3"/>
          </reference>
        </references>
      </pivotArea>
    </format>
    <format dxfId="65">
      <pivotArea outline="0" collapsedLevelsAreSubtotals="1" fieldPosition="0">
        <references count="1">
          <reference field="4294967294" count="1" selected="0">
            <x v="2"/>
          </reference>
        </references>
      </pivotArea>
    </format>
    <format dxfId="64">
      <pivotArea outline="0" collapsedLevelsAreSubtotals="1" fieldPosition="0">
        <references count="1">
          <reference field="4294967294" count="1" selected="0">
            <x v="2"/>
          </reference>
        </references>
      </pivotArea>
    </format>
    <format dxfId="63">
      <pivotArea dataOnly="0" labelOnly="1" outline="0" fieldPosition="0">
        <references count="1">
          <reference field="4294967294" count="4">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72"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6">
  <location ref="R5:Y8" firstHeaderRow="1" firstDataRow="2" firstDataCol="6" rowPageCount="1" colPageCount="1"/>
  <pivotFields count="31">
    <pivotField showAll="0"/>
    <pivotField axis="axisRow" outline="0" showAll="0" sortType="ascending" defaultSubtotal="0">
      <items count="1">
        <item x="0"/>
      </items>
    </pivotField>
    <pivotField axis="axisRow" outline="0" showAll="0" defaultSubtotal="0">
      <items count="1">
        <item x="0"/>
      </items>
    </pivotField>
    <pivotField axis="axisRow" outline="0" multipleItemSelectionAllowed="1" showAll="0" sortType="ascending" defaultSubtotal="0">
      <items count="1">
        <item x="0"/>
      </items>
    </pivotField>
    <pivotField showAll="0"/>
    <pivotField axis="axisRow" outline="0" showAll="0" defaultSubtotal="0">
      <items count="1">
        <item x="0"/>
      </items>
    </pivotField>
    <pivotField showAll="0"/>
    <pivotField showAll="0" defaultSubtotal="0"/>
    <pivotField showAll="0" defaultSubtotal="0"/>
    <pivotField showAll="0" defaultSubtotal="0"/>
    <pivotField axis="axisRow" outline="0" showAll="0" defaultSubtotal="0">
      <items count="1">
        <item x="0"/>
      </items>
    </pivotField>
    <pivotField axis="axisRow" outline="0" showAll="0" sortType="descending" defaultSubtotal="0">
      <items count="1">
        <item x="0"/>
      </items>
      <autoSortScope>
        <pivotArea dataOnly="0" outline="0" fieldPosition="0">
          <references count="1">
            <reference field="4294967294" count="1" selected="0">
              <x v="0"/>
            </reference>
          </references>
        </pivotArea>
      </autoSortScope>
    </pivotField>
    <pivotField showAll="0"/>
    <pivotField axis="axisCol" showAll="0" nonAutoSortDefault="1">
      <items count="2">
        <item x="0"/>
        <item t="default"/>
      </items>
    </pivotField>
    <pivotField showAll="0"/>
    <pivotField showAll="0" defaultSubtotal="0"/>
    <pivotField numFmtId="22" showAll="0"/>
    <pivotField showAll="0"/>
    <pivotField showAll="0" defaultSubtotal="0"/>
    <pivotField showAll="0" defaultSubtotal="0"/>
    <pivotField axis="axisPage" multipleItemSelectionAllowed="1" showAll="0" defaultSubtotal="0">
      <items count="1">
        <item x="0"/>
      </items>
    </pivotField>
    <pivotField multipleItemSelectionAllowed="1" showAll="0" defaultSubtotal="0"/>
    <pivotField dataField="1" showAll="0" defaultSubtotal="0"/>
    <pivotField showAll="0"/>
    <pivotField showAll="0"/>
    <pivotField showAll="0"/>
    <pivotField showAll="0"/>
    <pivotField showAll="0"/>
    <pivotField numFmtId="22" showAll="0" defaultSubtotal="0"/>
    <pivotField showAll="0" defaultSubtotal="0"/>
    <pivotField showAll="0" defaultSubtotal="0"/>
  </pivotFields>
  <rowFields count="6">
    <field x="1"/>
    <field x="2"/>
    <field x="3"/>
    <field x="5"/>
    <field x="10"/>
    <field x="11"/>
  </rowFields>
  <rowItems count="2">
    <i>
      <x/>
      <x/>
      <x/>
      <x/>
      <x/>
      <x/>
    </i>
    <i t="grand">
      <x/>
    </i>
  </rowItems>
  <colFields count="1">
    <field x="13"/>
  </colFields>
  <colItems count="2">
    <i>
      <x/>
    </i>
    <i t="grand">
      <x/>
    </i>
  </colItems>
  <pageFields count="1">
    <pageField fld="20" hier="-1"/>
  </pageFields>
  <dataFields count="1">
    <dataField name="Average of score0" fld="22" subtotal="average" baseField="4" baseItem="21" numFmtId="168"/>
  </dataFields>
  <formats count="22">
    <format dxfId="96">
      <pivotArea dataOnly="0" labelOnly="1" fieldPosition="0">
        <references count="1">
          <reference field="13" count="0"/>
        </references>
      </pivotArea>
    </format>
    <format dxfId="95">
      <pivotArea dataOnly="0" labelOnly="1" grandCol="1" outline="0" fieldPosition="0"/>
    </format>
    <format dxfId="94">
      <pivotArea grandRow="1" outline="0" collapsedLevelsAreSubtotals="1" fieldPosition="0"/>
    </format>
    <format dxfId="93">
      <pivotArea grandRow="1" outline="0" collapsedLevelsAreSubtotals="1" fieldPosition="0"/>
    </format>
    <format dxfId="92">
      <pivotArea grandRow="1" outline="0" collapsedLevelsAreSubtotals="1" fieldPosition="0"/>
    </format>
    <format dxfId="91">
      <pivotArea grandCol="1" outline="0" collapsedLevelsAreSubtotals="1" fieldPosition="0"/>
    </format>
    <format dxfId="90">
      <pivotArea grandCol="1" outline="0" collapsedLevelsAreSubtotals="1" fieldPosition="0"/>
    </format>
    <format dxfId="89">
      <pivotArea grandCol="1" outline="0" collapsedLevelsAreSubtotals="1" fieldPosition="0"/>
    </format>
    <format dxfId="88">
      <pivotArea grandRow="1" outline="0" collapsedLevelsAreSubtotals="1" fieldPosition="0"/>
    </format>
    <format dxfId="87">
      <pivotArea grandRow="1" outline="0" collapsedLevelsAreSubtotals="1" fieldPosition="0"/>
    </format>
    <format dxfId="86">
      <pivotArea outline="0" fieldPosition="0">
        <references count="1">
          <reference field="4294967294" count="1">
            <x v="0"/>
          </reference>
        </references>
      </pivotArea>
    </format>
    <format dxfId="85">
      <pivotArea grandCol="1" outline="0" collapsedLevelsAreSubtotals="1" fieldPosition="0"/>
    </format>
    <format dxfId="84">
      <pivotArea grandCol="1" outline="0" collapsedLevelsAreSubtotals="1" fieldPosition="0"/>
    </format>
    <format dxfId="83">
      <pivotArea field="13" grandRow="1" outline="0" collapsedLevelsAreSubtotals="1" axis="axisCol" fieldPosition="0">
        <references count="1">
          <reference field="13" count="0" selected="0"/>
        </references>
      </pivotArea>
    </format>
    <format dxfId="82">
      <pivotArea field="13" grandRow="1" outline="0" collapsedLevelsAreSubtotals="1" axis="axisCol" fieldPosition="0">
        <references count="1">
          <reference field="13" count="0" selected="0"/>
        </references>
      </pivotArea>
    </format>
    <format dxfId="81">
      <pivotArea outline="0" collapsedLevelsAreSubtotals="1" fieldPosition="0">
        <references count="7">
          <reference field="1" count="0" selected="0"/>
          <reference field="2" count="0" selected="0"/>
          <reference field="3" count="0" selected="0"/>
          <reference field="5" count="0" selected="0"/>
          <reference field="10" count="0" selected="0"/>
          <reference field="11" count="0" selected="0"/>
          <reference field="13" count="0" selected="0"/>
        </references>
      </pivotArea>
    </format>
    <format dxfId="80">
      <pivotArea dataOnly="0" labelOnly="1" fieldPosition="0">
        <references count="1">
          <reference field="13" count="0"/>
        </references>
      </pivotArea>
    </format>
    <format dxfId="79">
      <pivotArea outline="0" collapsedLevelsAreSubtotals="1" fieldPosition="0">
        <references count="7">
          <reference field="1" count="0" selected="0"/>
          <reference field="2" count="0" selected="0"/>
          <reference field="3" count="0" selected="0"/>
          <reference field="5" count="0" selected="0"/>
          <reference field="10" count="0" selected="0"/>
          <reference field="11" count="0" selected="0"/>
          <reference field="13" count="0" selected="0"/>
        </references>
      </pivotArea>
    </format>
    <format dxfId="78">
      <pivotArea dataOnly="0" labelOnly="1" fieldPosition="0">
        <references count="1">
          <reference field="13" count="0"/>
        </references>
      </pivotArea>
    </format>
    <format dxfId="77">
      <pivotArea outline="0" collapsedLevelsAreSubtotals="1" fieldPosition="0">
        <references count="7">
          <reference field="1" count="0" selected="0"/>
          <reference field="2" count="0" selected="0"/>
          <reference field="3" count="0" selected="0"/>
          <reference field="5" count="0" selected="0"/>
          <reference field="10" count="0" selected="0"/>
          <reference field="11" count="0" selected="0"/>
          <reference field="13" count="0" selected="0"/>
        </references>
      </pivotArea>
    </format>
    <format dxfId="76">
      <pivotArea dataOnly="0" labelOnly="1" fieldPosition="0">
        <references count="1">
          <reference field="13" count="0"/>
        </references>
      </pivotArea>
    </format>
    <format dxfId="75">
      <pivotArea dataOnly="0" outline="0" fieldPosition="0">
        <references count="1">
          <reference field="1" count="0"/>
        </references>
      </pivotArea>
    </format>
  </formats>
  <conditionalFormats count="1">
    <conditionalFormat scope="data" priority="1">
      <pivotAreas count="1">
        <pivotArea outline="0"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72"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5">
  <location ref="AZ6:BG8" firstHeaderRow="0" firstDataRow="1" firstDataCol="4" rowPageCount="1" colPageCount="1"/>
  <pivotFields count="31">
    <pivotField showAll="0"/>
    <pivotField axis="axisRow" outline="0" showAll="0" sortType="ascending" defaultSubtotal="0">
      <items count="1">
        <item x="0"/>
      </items>
      <autoSortScope>
        <pivotArea dataOnly="0" outline="0" fieldPosition="0">
          <references count="1">
            <reference field="4294967294" count="1" selected="0">
              <x v="3"/>
            </reference>
          </references>
        </pivotArea>
      </autoSortScope>
    </pivotField>
    <pivotField axis="axisRow" outline="0" showAll="0" sortType="ascending" defaultSubtotal="0">
      <items count="1">
        <item x="0"/>
      </items>
    </pivotField>
    <pivotField axis="axisRow" showAll="0" sortType="ascending">
      <items count="2">
        <item x="0"/>
        <item t="default"/>
      </items>
      <autoSortScope>
        <pivotArea dataOnly="0" outline="0" fieldPosition="0">
          <references count="1">
            <reference field="4294967294" count="1" selected="0">
              <x v="3"/>
            </reference>
          </references>
        </pivotArea>
      </autoSortScope>
    </pivotField>
    <pivotField showAll="0"/>
    <pivotField showAll="0" defaultSubtotal="0"/>
    <pivotField showAll="0"/>
    <pivotField showAll="0" defaultSubtotal="0"/>
    <pivotField showAll="0" defaultSubtotal="0"/>
    <pivotField showAll="0" defaultSubtotal="0"/>
    <pivotField showAll="0" defaultSubtotal="0"/>
    <pivotField axis="axisRow" outline="0" showAll="0" sortType="ascending" defaultSubtotal="0">
      <items count="1">
        <item x="0"/>
      </items>
    </pivotField>
    <pivotField dataField="1" showAll="0"/>
    <pivotField showAll="0" nonAutoSortDefault="1"/>
    <pivotField showAll="0"/>
    <pivotField showAll="0" defaultSubtotal="0"/>
    <pivotField numFmtId="22" showAll="0"/>
    <pivotField showAll="0"/>
    <pivotField showAll="0" defaultSubtotal="0"/>
    <pivotField showAll="0" defaultSubtotal="0"/>
    <pivotField axis="axisPage" multipleItemSelectionAllowed="1" showAll="0" defaultSubtotal="0">
      <items count="1">
        <item x="0"/>
      </items>
    </pivotField>
    <pivotField multipleItemSelectionAllowed="1" showAll="0" defaultSubtotal="0"/>
    <pivotField dataField="1" showAll="0" defaultSubtotal="0"/>
    <pivotField showAll="0"/>
    <pivotField showAll="0"/>
    <pivotField showAll="0"/>
    <pivotField showAll="0"/>
    <pivotField showAll="0"/>
    <pivotField numFmtId="22" showAll="0" defaultSubtotal="0"/>
    <pivotField showAll="0" defaultSubtotal="0"/>
    <pivotField showAll="0" defaultSubtotal="0"/>
  </pivotFields>
  <rowFields count="4">
    <field x="1"/>
    <field x="2"/>
    <field x="11"/>
    <field x="3"/>
  </rowFields>
  <rowItems count="2">
    <i>
      <x/>
      <x/>
      <x/>
      <x/>
    </i>
    <i t="grand">
      <x/>
    </i>
  </rowItems>
  <colFields count="1">
    <field x="-2"/>
  </colFields>
  <colItems count="4">
    <i>
      <x/>
    </i>
    <i i="1">
      <x v="1"/>
    </i>
    <i i="2">
      <x v="2"/>
    </i>
    <i i="3">
      <x v="3"/>
    </i>
  </colItems>
  <pageFields count="1">
    <pageField fld="20" hier="-1"/>
  </pageFields>
  <dataFields count="4">
    <dataField name="Num revr" fld="12" subtotal="count" baseField="0" baseItem="0"/>
    <dataField name="Max sc0r" fld="22" subtotal="max" baseField="3" baseItem="0" numFmtId="168"/>
    <dataField name="Avg  sc0r" fld="22" subtotal="average" baseField="4" baseItem="5" numFmtId="167"/>
    <dataField name="Stdev sc0r" fld="22" subtotal="stdDev" baseField="4" baseItem="25"/>
  </dataFields>
  <formats count="13">
    <format dxfId="109">
      <pivotArea dataOnly="0" labelOnly="1" grandCol="1" outline="0" fieldPosition="0"/>
    </format>
    <format dxfId="108">
      <pivotArea grandRow="1" outline="0" collapsedLevelsAreSubtotals="1" fieldPosition="0"/>
    </format>
    <format dxfId="107">
      <pivotArea grandRow="1" outline="0" collapsedLevelsAreSubtotals="1" fieldPosition="0"/>
    </format>
    <format dxfId="106">
      <pivotArea grandRow="1" outline="0" collapsedLevelsAreSubtotals="1" fieldPosition="0"/>
    </format>
    <format dxfId="105">
      <pivotArea grandCol="1" outline="0" collapsedLevelsAreSubtotals="1" fieldPosition="0"/>
    </format>
    <format dxfId="104">
      <pivotArea grandCol="1" outline="0" collapsedLevelsAreSubtotals="1" fieldPosition="0"/>
    </format>
    <format dxfId="103">
      <pivotArea grandCol="1" outline="0" collapsedLevelsAreSubtotals="1" fieldPosition="0"/>
    </format>
    <format dxfId="102">
      <pivotArea grandRow="1" outline="0" collapsedLevelsAreSubtotals="1" fieldPosition="0"/>
    </format>
    <format dxfId="101">
      <pivotArea grandRow="1" outline="0" collapsedLevelsAreSubtotals="1" fieldPosition="0"/>
    </format>
    <format dxfId="100">
      <pivotArea field="1" grandRow="1" outline="0" collapsedLevelsAreSubtotals="1" axis="axisRow" fieldPosition="0">
        <references count="1">
          <reference field="4294967294" count="1" selected="0">
            <x v="0"/>
          </reference>
        </references>
      </pivotArea>
    </format>
    <format dxfId="99">
      <pivotArea outline="0" collapsedLevelsAreSubtotals="1" fieldPosition="0">
        <references count="1">
          <reference field="4294967294" count="1" selected="0">
            <x v="2"/>
          </reference>
        </references>
      </pivotArea>
    </format>
    <format dxfId="98">
      <pivotArea outline="0" fieldPosition="0">
        <references count="1">
          <reference field="4294967294" count="1">
            <x v="1"/>
          </reference>
        </references>
      </pivotArea>
    </format>
    <format dxfId="97">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72" applyNumberFormats="0" applyBorderFormats="0" applyFontFormats="0" applyPatternFormats="0" applyAlignmentFormats="0" applyWidthHeightFormats="1" dataCaption="Values" grandTotalCaption="Overall" updatedVersion="6" minRefreshableVersion="3" itemPrintTitles="1" createdVersion="5" indent="0" outline="1" outlineData="1" multipleFieldFilters="0">
  <location ref="D4:I6" firstHeaderRow="0" firstDataRow="1" firstDataCol="1" rowPageCount="1" colPageCount="1"/>
  <pivotFields count="31">
    <pivotField showAll="0"/>
    <pivotField showAll="0" defaultSubtotal="0"/>
    <pivotField dataField="1" showAll="0"/>
    <pivotField showAll="0"/>
    <pivotField showAll="0"/>
    <pivotField showAll="0" defaultSubtotal="0"/>
    <pivotField showAll="0"/>
    <pivotField showAll="0" defaultSubtotal="0"/>
    <pivotField showAll="0" defaultSubtotal="0"/>
    <pivotField showAll="0" defaultSubtotal="0"/>
    <pivotField showAll="0" defaultSubtotal="0"/>
    <pivotField showAll="0" defaultSubtotal="0"/>
    <pivotField showAll="0"/>
    <pivotField axis="axisRow" outline="0" showAll="0" sortType="descending" defaultSubtotal="0">
      <items count="1">
        <item x="0"/>
      </items>
      <autoSortScope>
        <pivotArea dataOnly="0" outline="0" fieldPosition="0">
          <references count="1">
            <reference field="4294967294" count="1" selected="0">
              <x v="2"/>
            </reference>
          </references>
        </pivotArea>
      </autoSortScope>
    </pivotField>
    <pivotField showAll="0"/>
    <pivotField showAll="0" defaultSubtotal="0"/>
    <pivotField numFmtId="22" multipleItemSelectionAllowed="1" showAll="0"/>
    <pivotField showAll="0"/>
    <pivotField showAll="0" defaultSubtotal="0"/>
    <pivotField showAll="0" defaultSubtotal="0"/>
    <pivotField axis="axisPage" multipleItemSelectionAllowed="1" showAll="0" defaultSubtotal="0">
      <items count="1">
        <item x="0"/>
      </items>
    </pivotField>
    <pivotField multipleItemSelectionAllowed="1" showAll="0" defaultSubtotal="0"/>
    <pivotField dataField="1" showAll="0" defaultSubtotal="0"/>
    <pivotField showAll="0"/>
    <pivotField showAll="0"/>
    <pivotField showAll="0"/>
    <pivotField showAll="0"/>
    <pivotField showAll="0"/>
    <pivotField numFmtId="22" showAll="0" defaultSubtotal="0"/>
    <pivotField showAll="0" defaultSubtotal="0"/>
    <pivotField showAll="0" defaultSubtotal="0"/>
  </pivotFields>
  <rowFields count="1">
    <field x="13"/>
  </rowFields>
  <rowItems count="2">
    <i>
      <x/>
    </i>
    <i t="grand">
      <x/>
    </i>
  </rowItems>
  <colFields count="1">
    <field x="-2"/>
  </colFields>
  <colItems count="5">
    <i>
      <x/>
    </i>
    <i i="1">
      <x v="1"/>
    </i>
    <i i="2">
      <x v="2"/>
    </i>
    <i i="3">
      <x v="3"/>
    </i>
    <i i="4">
      <x v="4"/>
    </i>
  </colItems>
  <pageFields count="1">
    <pageField fld="20" hier="-1"/>
  </pageFields>
  <dataFields count="5">
    <dataField name="nprop" fld="2" subtotal="count" baseField="0" baseItem="0"/>
    <dataField name="Min scor" fld="22" subtotal="min" baseField="8" baseItem="1" numFmtId="1"/>
    <dataField name="Avg score" fld="22" subtotal="average" baseField="8" baseItem="1" numFmtId="167"/>
    <dataField name="Max scor" fld="22" subtotal="max" baseField="8" baseItem="1" numFmtId="168"/>
    <dataField name="SDev score" fld="22" subtotal="stdDev" baseField="8" baseItem="1" numFmtId="2"/>
  </dataFields>
  <formats count="7">
    <format dxfId="47">
      <pivotArea dataOnly="0" labelOnly="1" outline="0" fieldPosition="0">
        <references count="1">
          <reference field="4294967294" count="1">
            <x v="0"/>
          </reference>
        </references>
      </pivotArea>
    </format>
    <format dxfId="46">
      <pivotArea outline="0" collapsedLevelsAreSubtotals="1" fieldPosition="0">
        <references count="1">
          <reference field="4294967294" count="3" selected="0">
            <x v="1"/>
            <x v="2"/>
            <x v="3"/>
          </reference>
        </references>
      </pivotArea>
    </format>
    <format dxfId="45">
      <pivotArea outline="0" collapsedLevelsAreSubtotals="1" fieldPosition="0">
        <references count="1">
          <reference field="4294967294" count="1" selected="0">
            <x v="2"/>
          </reference>
        </references>
      </pivotArea>
    </format>
    <format dxfId="44">
      <pivotArea outline="0" collapsedLevelsAreSubtotals="1" fieldPosition="0">
        <references count="1">
          <reference field="4294967294" count="1" selected="0">
            <x v="2"/>
          </reference>
        </references>
      </pivotArea>
    </format>
    <format dxfId="43">
      <pivotArea dataOnly="0" labelOnly="1" outline="0" fieldPosition="0">
        <references count="1">
          <reference field="4294967294" count="4">
            <x v="1"/>
            <x v="2"/>
            <x v="3"/>
            <x v="4"/>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72" applyNumberFormats="0" applyBorderFormats="0" applyFontFormats="0" applyPatternFormats="0" applyAlignmentFormats="0" applyWidthHeightFormats="1" dataCaption="Values" grandTotalCaption="Overall" updatedVersion="6" minRefreshableVersion="3" itemPrintTitles="1" createdVersion="5" indent="0" outline="1" outlineData="1" multipleFieldFilters="0">
  <location ref="M4:Q6" firstHeaderRow="0" firstDataRow="1" firstDataCol="1" rowPageCount="1" colPageCount="1"/>
  <pivotFields count="31">
    <pivotField showAll="0"/>
    <pivotField showAll="0" defaultSubtotal="0"/>
    <pivotField showAll="0"/>
    <pivotField showAll="0"/>
    <pivotField showAll="0"/>
    <pivotField showAll="0" defaultSubtotal="0"/>
    <pivotField showAll="0"/>
    <pivotField showAll="0" defaultSubtotal="0"/>
    <pivotField showAll="0" defaultSubtotal="0"/>
    <pivotField showAll="0" defaultSubtotal="0"/>
    <pivotField showAll="0" defaultSubtotal="0"/>
    <pivotField showAll="0" defaultSubtotal="0"/>
    <pivotField showAll="0" sortType="ascending"/>
    <pivotField axis="axisRow" showAll="0" sortType="ascending">
      <items count="2">
        <item x="0"/>
        <item t="default"/>
      </items>
      <autoSortScope>
        <pivotArea dataOnly="0" outline="0" fieldPosition="0">
          <references count="1">
            <reference field="4294967294" count="1" selected="0">
              <x v="1"/>
            </reference>
          </references>
        </pivotArea>
      </autoSortScope>
    </pivotField>
    <pivotField showAll="0"/>
    <pivotField showAll="0" defaultSubtotal="0"/>
    <pivotField numFmtId="22" multipleItemSelectionAllowed="1" showAll="0"/>
    <pivotField showAll="0"/>
    <pivotField showAll="0" defaultSubtotal="0"/>
    <pivotField showAll="0" defaultSubtotal="0"/>
    <pivotField axis="axisPage" multipleItemSelectionAllowed="1" showAll="0" defaultSubtotal="0">
      <items count="1">
        <item x="0"/>
      </items>
    </pivotField>
    <pivotField multipleItemSelectionAllowed="1" showAll="0" defaultSubtotal="0"/>
    <pivotField showAll="0" defaultSubtotal="0"/>
    <pivotField dataField="1" showAll="0"/>
    <pivotField showAll="0"/>
    <pivotField showAll="0"/>
    <pivotField showAll="0"/>
    <pivotField showAll="0"/>
    <pivotField numFmtId="22" showAll="0" defaultSubtotal="0"/>
    <pivotField showAll="0" defaultSubtotal="0"/>
    <pivotField showAll="0" defaultSubtotal="0"/>
  </pivotFields>
  <rowFields count="1">
    <field x="13"/>
  </rowFields>
  <rowItems count="2">
    <i>
      <x/>
    </i>
    <i t="grand">
      <x/>
    </i>
  </rowItems>
  <colFields count="1">
    <field x="-2"/>
  </colFields>
  <colItems count="4">
    <i>
      <x/>
    </i>
    <i i="1">
      <x v="1"/>
    </i>
    <i i="2">
      <x v="2"/>
    </i>
    <i i="3">
      <x v="3"/>
    </i>
  </colItems>
  <pageFields count="1">
    <pageField fld="20" hier="-1"/>
  </pageFields>
  <dataFields count="4">
    <dataField name="Min nWrds" fld="23" subtotal="min" baseField="0" baseItem="1"/>
    <dataField name="Avg of nWords" fld="23" subtotal="average" baseField="0" baseItem="0" numFmtId="166"/>
    <dataField name="Max nWrds" fld="23" subtotal="max" baseField="0" baseItem="1"/>
    <dataField name="StDev nWrds" fld="23" subtotal="stdDevp" baseField="8" baseItem="28" numFmtId="166"/>
  </dataFields>
  <formats count="2">
    <format dxfId="49">
      <pivotArea dataOnly="0" labelOnly="1" outline="0" fieldPosition="0">
        <references count="1">
          <reference field="4294967294" count="4">
            <x v="0"/>
            <x v="1"/>
            <x v="2"/>
            <x v="3"/>
          </reference>
        </references>
      </pivotArea>
    </format>
    <format dxfId="48">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72" applyNumberFormats="0" applyBorderFormats="0" applyFontFormats="0" applyPatternFormats="0" applyAlignmentFormats="0" applyWidthHeightFormats="1" dataCaption="Values" updatedVersion="6" minRefreshableVersion="3" rowGrandTotals="0" itemPrintTitles="1" createdVersion="5" indent="0" outline="1" outlineData="1" multipleFieldFilters="0" chartFormat="6">
  <location ref="U3:AA5" firstHeaderRow="1" firstDataRow="2" firstDataCol="5" rowPageCount="1" colPageCount="1"/>
  <pivotFields count="31">
    <pivotField showAll="0"/>
    <pivotField axis="axisRow" outline="0" showAll="0" sortType="ascending" defaultSubtotal="0">
      <items count="1">
        <item x="0"/>
      </items>
    </pivotField>
    <pivotField axis="axisRow" outline="0" showAll="0" defaultSubtotal="0">
      <items count="1">
        <item x="0"/>
      </items>
    </pivotField>
    <pivotField axis="axisRow" outline="0" showAll="0" defaultSubtotal="0">
      <items count="1">
        <item x="0"/>
      </items>
    </pivotField>
    <pivotField showAll="0"/>
    <pivotField showAll="0" defaultSubtotal="0"/>
    <pivotField axis="axisRow" outline="0" showAll="0" defaultSubtotal="0">
      <items count="1">
        <item x="0"/>
      </items>
    </pivotField>
    <pivotField showAll="0" defaultSubtotal="0"/>
    <pivotField showAll="0" defaultSubtotal="0"/>
    <pivotField showAll="0" defaultSubtotal="0"/>
    <pivotField axis="axisRow" showAll="0" defaultSubtotal="0">
      <items count="1">
        <item x="0"/>
      </items>
    </pivotField>
    <pivotField showAll="0" defaultSubtotal="0"/>
    <pivotField showAll="0"/>
    <pivotField axis="axisCol" showAll="0" nonAutoSortDefault="1">
      <items count="2">
        <item x="0"/>
        <item t="default"/>
      </items>
    </pivotField>
    <pivotField showAll="0"/>
    <pivotField showAll="0" defaultSubtotal="0"/>
    <pivotField numFmtId="22" showAll="0"/>
    <pivotField showAll="0"/>
    <pivotField showAll="0" defaultSubtotal="0"/>
    <pivotField showAll="0" defaultSubtotal="0"/>
    <pivotField axis="axisPage" multipleItemSelectionAllowed="1" showAll="0" defaultSubtotal="0">
      <items count="1">
        <item x="0"/>
      </items>
    </pivotField>
    <pivotField multipleItemSelectionAllowed="1" showAll="0" defaultSubtotal="0"/>
    <pivotField dataField="1" showAll="0" defaultSubtotal="0"/>
    <pivotField showAll="0"/>
    <pivotField showAll="0"/>
    <pivotField showAll="0"/>
    <pivotField showAll="0"/>
    <pivotField showAll="0"/>
    <pivotField numFmtId="22" showAll="0" defaultSubtotal="0"/>
    <pivotField showAll="0" defaultSubtotal="0"/>
    <pivotField showAll="0" defaultSubtotal="0"/>
  </pivotFields>
  <rowFields count="5">
    <field x="1"/>
    <field x="2"/>
    <field x="3"/>
    <field x="6"/>
    <field x="10"/>
  </rowFields>
  <rowItems count="1">
    <i>
      <x/>
      <x/>
      <x/>
      <x/>
      <x/>
    </i>
  </rowItems>
  <colFields count="1">
    <field x="13"/>
  </colFields>
  <colItems count="2">
    <i>
      <x/>
    </i>
    <i t="grand">
      <x/>
    </i>
  </colItems>
  <pageFields count="1">
    <pageField fld="20" hier="-1"/>
  </pageFields>
  <dataFields count="1">
    <dataField name="Reviews" fld="22" subtotal="average" baseField="3" baseItem="1"/>
  </dataFields>
  <formats count="12">
    <format dxfId="61">
      <pivotArea dataOnly="0" labelOnly="1" grandCol="1" outline="0" fieldPosition="0"/>
    </format>
    <format dxfId="60">
      <pivotArea grandRow="1" outline="0" collapsedLevelsAreSubtotals="1" fieldPosition="0"/>
    </format>
    <format dxfId="59">
      <pivotArea grandRow="1" outline="0" collapsedLevelsAreSubtotals="1" fieldPosition="0"/>
    </format>
    <format dxfId="58">
      <pivotArea grandRow="1" outline="0" collapsedLevelsAreSubtotals="1" fieldPosition="0"/>
    </format>
    <format dxfId="57">
      <pivotArea grandCol="1" outline="0" collapsedLevelsAreSubtotals="1" fieldPosition="0"/>
    </format>
    <format dxfId="56">
      <pivotArea grandCol="1" outline="0" collapsedLevelsAreSubtotals="1" fieldPosition="0"/>
    </format>
    <format dxfId="55">
      <pivotArea grandCol="1" outline="0" collapsedLevelsAreSubtotals="1" fieldPosition="0"/>
    </format>
    <format dxfId="54">
      <pivotArea grandRow="1" outline="0" collapsedLevelsAreSubtotals="1" fieldPosition="0"/>
    </format>
    <format dxfId="53">
      <pivotArea grandRow="1" outline="0" collapsedLevelsAreSubtotals="1" fieldPosition="0"/>
    </format>
    <format dxfId="52">
      <pivotArea field="13" type="button" dataOnly="0" labelOnly="1" outline="0" axis="axisCol" fieldPosition="0"/>
    </format>
    <format dxfId="51">
      <pivotArea type="topRight" dataOnly="0" labelOnly="1" outline="0" fieldPosition="0"/>
    </format>
    <format dxfId="50">
      <pivotArea dataOnly="0" labelOnly="1" fieldPosition="0">
        <references count="1">
          <reference field="13" count="0"/>
        </references>
      </pivotArea>
    </format>
  </formats>
  <conditionalFormats count="4">
    <conditionalFormat priority="2">
      <pivotAreas count="1">
        <pivotArea type="data" outline="0" collapsedLevelsAreSubtotals="1" fieldPosition="0">
          <references count="1">
            <reference field="4294967294" count="1" selected="0">
              <x v="0"/>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 priority="7">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30">
    <queryTableFields count="3">
      <queryTableField id="20" name="revr_last_name" tableColumnId="20"/>
      <queryTableField id="21" name="revr_frst_name" tableColumnId="21"/>
      <queryTableField id="24" name="Count of prop_id" tableColumnId="1"/>
    </queryTableFields>
  </queryTableRefresh>
</queryTable>
</file>

<file path=xl/queryTables/queryTable2.xml><?xml version="1.0" encoding="utf-8"?>
<queryTable xmlns="http://schemas.openxmlformats.org/spreadsheetml/2006/main" name="ExternalData_1" adjustColumnWidth="0" connectionId="2" autoFormatId="16" applyNumberFormats="0" applyBorderFormats="0" applyFontFormats="0" applyPatternFormats="0" applyAlignmentFormats="0" applyWidthHeightFormats="0">
  <queryTableRefresh nextId="30">
    <queryTableFields count="3">
      <queryTableField id="3" name="revr_last_name" tableColumnId="3"/>
      <queryTableField id="4" name="revr_frst_name" tableColumnId="4"/>
      <queryTableField id="29" name="Count" tableColumnId="13"/>
    </queryTableFields>
  </queryTableRefresh>
</queryTable>
</file>

<file path=xl/queryTables/queryTable3.xml><?xml version="1.0" encoding="utf-8"?>
<queryTable xmlns="http://schemas.openxmlformats.org/spreadsheetml/2006/main" name="Rvr_names_panel" adjustColumnWidth="0" connectionId="4" autoFormatId="16" applyNumberFormats="0" applyBorderFormats="0" applyFontFormats="0" applyPatternFormats="0" applyAlignmentFormats="0" applyWidthHeightFormats="0">
  <queryTableRefresh nextId="26" unboundColumnsRight="1">
    <queryTableFields count="9">
      <queryTableField id="1" name="panl_id" tableColumnId="1"/>
      <queryTableField id="10" name="panl_name" tableColumnId="10"/>
      <queryTableField id="14" name="revr_addr_txt" tableColumnId="14"/>
      <queryTableField id="3" name="revr_last_name" tableColumnId="3"/>
      <queryTableField id="4" name="revr_frst_name" tableColumnId="4"/>
      <queryTableField id="13" name="inst_name" tableColumnId="13"/>
      <queryTableField id="5" name="revr_dept_name" tableColumnId="5"/>
      <queryTableField id="24" name="revr_id" tableColumnId="2"/>
      <queryTableField id="25" dataBound="0" tableColumnId="6"/>
    </queryTableFields>
  </queryTableRefresh>
</queryTable>
</file>

<file path=xl/queryTables/queryTable4.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73">
    <queryTableFields count="31">
      <queryTableField id="9" name="PANL_ID" tableColumnId="9"/>
      <queryTableField id="40" name="PROP_SEQ_NUM" tableColumnId="20"/>
      <queryTableField id="1" name="PROP_ID" tableColumnId="1"/>
      <queryTableField id="10" name="pi_last_name" tableColumnId="6"/>
      <queryTableField id="11" name="pi_frst_name" tableColumnId="8"/>
      <queryTableField id="46" name="inst_shrt_name" tableColumnId="21"/>
      <queryTableField id="12" name="prop_titl_txt" tableColumnId="10"/>
      <queryTableField id="60" name="Lead" tableColumnId="29"/>
      <queryTableField id="61" name="Lead_name" tableColumnId="30"/>
      <queryTableField id="62" name="Scribe" tableColumnId="31"/>
      <queryTableField id="63" name="Scribe_name" tableColumnId="32"/>
      <queryTableField id="56" name="nCOI" tableColumnId="27"/>
      <queryTableField id="4" name="REVR_ID" tableColumnId="4"/>
      <queryTableField id="13" name="revr_last_name" tableColumnId="11"/>
      <queryTableField id="14" name="revr_frst_name" tableColumnId="12"/>
      <queryTableField id="44" name="email" tableColumnId="19"/>
      <queryTableField id="26" name="rev_rtrn_date" tableColumnId="15"/>
      <queryTableField id="27" name="rev_subm_flag" tableColumnId="16"/>
      <queryTableField id="52" name="rev_type_code" tableColumnId="18"/>
      <queryTableField id="53" name="rev_stts_code" tableColumnId="22"/>
      <queryTableField id="59" name="rType" tableColumnId="28"/>
      <queryTableField id="36" name="string" tableColumnId="23"/>
      <queryTableField id="43" dataBound="0" tableColumnId="13"/>
      <queryTableField id="32" dataBound="0" tableColumnId="17"/>
      <queryTableField id="2" name="REV_PROP_TXT_FLDS" tableColumnId="2"/>
      <queryTableField id="3" name="revr_dclr_coi_ind" tableColumnId="3"/>
      <queryTableField id="5" name="ADDL_SUGG_REVR" tableColumnId="5"/>
      <queryTableField id="7" name="CNFLCT_INTRST_TXT" tableColumnId="7"/>
      <queryTableField id="54" name="rev_sent_date" tableColumnId="25"/>
      <queryTableField id="55" name="rev_panl" tableColumnId="26"/>
      <queryTableField id="37" name="score" tableColumnId="24"/>
    </queryTableFields>
    <queryTableDeletedFields count="2">
      <deletedField name="LAST_UPDT_TMSP"/>
      <deletedField name="rev_prop_rtng_ind"/>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2" name="RevSubTable" displayName="RevSubTable" ref="A2:C3" tableType="queryTable" insertRow="1" totalsRowShown="0">
  <autoFilter ref="A2:C3"/>
  <sortState ref="A3:C3">
    <sortCondition ref="A2:A3"/>
  </sortState>
  <tableColumns count="3">
    <tableColumn id="20" uniqueName="20" name="revr_last_name" queryTableFieldId="20"/>
    <tableColumn id="21" uniqueName="21" name="revr_frst_name" queryTableFieldId="21"/>
    <tableColumn id="1" uniqueName="1" name="Count of prop_id" queryTableFieldId="24"/>
  </tableColumns>
  <tableStyleInfo name="TableStyleMedium2" showFirstColumn="0" showLastColumn="0" showRowStripes="1" showColumnStripes="0"/>
</table>
</file>

<file path=xl/tables/table2.xml><?xml version="1.0" encoding="utf-8"?>
<table xmlns="http://schemas.openxmlformats.org/spreadsheetml/2006/main" id="3" name="RevSaveTable" displayName="RevSaveTable" ref="A6:C7" tableType="queryTable" insertRow="1" totalsRowShown="0">
  <autoFilter ref="A6:C7"/>
  <tableColumns count="3">
    <tableColumn id="3" uniqueName="3" name="revr_last_name" queryTableFieldId="3"/>
    <tableColumn id="4" uniqueName="4" name="revr_frst_name" queryTableFieldId="4"/>
    <tableColumn id="13" uniqueName="13" name="Count" queryTableFieldId="29"/>
  </tableColumns>
  <tableStyleInfo name="TableStyleMedium2" showFirstColumn="0" showLastColumn="0" showRowStripes="1" showColumnStripes="0"/>
</table>
</file>

<file path=xl/tables/table3.xml><?xml version="1.0" encoding="utf-8"?>
<table xmlns="http://schemas.openxmlformats.org/spreadsheetml/2006/main" id="4" name="ReviewerTable" displayName="ReviewerTable" ref="E2:M4" tableType="queryTable" insertRow="1" totalsRowCount="1">
  <autoFilter ref="E2:M3"/>
  <tableColumns count="9">
    <tableColumn id="1" uniqueName="1" name="panl_id" queryTableFieldId="1"/>
    <tableColumn id="10" uniqueName="10" name="panl_name" totalsRowLabel="&lt;-- copy tables, then click to --&gt;" queryTableFieldId="10" totalsRowDxfId="1"/>
    <tableColumn id="14" uniqueName="14" name="revr_addr_txt" totalsRowFunction="custom" queryTableFieldId="14" totalsRowDxfId="0">
      <totalsRowFormula>HYPERLINK("mailto:" &amp; OFFSET(M4,-1,0) &amp; "?subject="&amp;A1&amp;" reviews","email reviewers")</totalsRowFormula>
    </tableColumn>
    <tableColumn id="3" uniqueName="3" name="revr_last_name" queryTableFieldId="3"/>
    <tableColumn id="4" uniqueName="4" name="revr_frst_name" queryTableFieldId="4"/>
    <tableColumn id="13" uniqueName="13" name="inst_name" queryTableFieldId="13"/>
    <tableColumn id="5" uniqueName="5" name="revr_dept_name" queryTableFieldId="5"/>
    <tableColumn id="2" uniqueName="2" name="revr_id" queryTableFieldId="24"/>
    <tableColumn id="6" uniqueName="6" name="concat" queryTableFieldId="25" dataDxfId="62">
      <calculatedColumnFormula>IF(M2="concat",ReviewerTable[[#This Row],[revr_addr_txt]], M2 &amp; ";" &amp; ReviewerTable[[#This Row],[revr_addr_txt]])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 name="AllReviewsTable" displayName="AllReviewsTable" ref="A1:AE2" tableType="queryTable" insertRow="1" totalsRowShown="0" headerRowDxfId="40" dataDxfId="39">
  <autoFilter ref="A1:AE2"/>
  <sortState ref="A2:AE2">
    <sortCondition descending="1" ref="Q1:Q2"/>
  </sortState>
  <tableColumns count="31">
    <tableColumn id="9" uniqueName="9" name="panl_id" queryTableFieldId="9" dataDxfId="38"/>
    <tableColumn id="20" uniqueName="20" name="PROP_SEQ_NUM" queryTableFieldId="40" dataDxfId="37"/>
    <tableColumn id="1" uniqueName="1" name="prop_id" queryTableFieldId="1" dataDxfId="36"/>
    <tableColumn id="6" uniqueName="6" name="pi_last_name" queryTableFieldId="10" dataDxfId="35"/>
    <tableColumn id="8" uniqueName="8" name="pi_frst_name" queryTableFieldId="11" dataDxfId="34"/>
    <tableColumn id="21" uniqueName="21" name="inst_shrt_name" queryTableFieldId="46" dataDxfId="33"/>
    <tableColumn id="10" uniqueName="10" name="prop_titl_txt" queryTableFieldId="12" dataDxfId="32"/>
    <tableColumn id="29" uniqueName="29" name="Lead" queryTableFieldId="60" dataDxfId="31"/>
    <tableColumn id="30" uniqueName="30" name="Lead_name" queryTableFieldId="61" dataDxfId="30"/>
    <tableColumn id="31" uniqueName="31" name="Scribe" queryTableFieldId="62" dataDxfId="29"/>
    <tableColumn id="32" uniqueName="32" name="Scribe_name" queryTableFieldId="63" dataDxfId="28"/>
    <tableColumn id="27" uniqueName="27" name="nCOI" queryTableFieldId="56" dataDxfId="27"/>
    <tableColumn id="4" uniqueName="4" name="revr_id" queryTableFieldId="4" dataDxfId="26"/>
    <tableColumn id="11" uniqueName="11" name="revr_last_name" queryTableFieldId="13" dataDxfId="25"/>
    <tableColumn id="12" uniqueName="12" name="revr_frst_name" queryTableFieldId="14" dataDxfId="24"/>
    <tableColumn id="19" uniqueName="19" name="email" queryTableFieldId="44" dataDxfId="23"/>
    <tableColumn id="15" uniqueName="15" name="rev_rtrn_date" queryTableFieldId="26" dataDxfId="22"/>
    <tableColumn id="16" uniqueName="16" name="rev_subm_flag" queryTableFieldId="27" dataDxfId="21"/>
    <tableColumn id="18" uniqueName="18" name="rev_type_code" queryTableFieldId="52" dataDxfId="20"/>
    <tableColumn id="22" uniqueName="22" name="rev_stts_code" queryTableFieldId="53" dataDxfId="19"/>
    <tableColumn id="28" uniqueName="28" name="rType" queryTableFieldId="59" dataDxfId="18"/>
    <tableColumn id="23" uniqueName="23" name="string" queryTableFieldId="36" dataDxfId="17"/>
    <tableColumn id="13" uniqueName="13" name="score0" queryTableFieldId="43" dataDxfId="16">
      <calculatedColumnFormula>IF((AllReviewsTable[rev_stts_code]="C"),"C",IF(ISBLANK(AllReviewsTable[[#This Row],[score]]),"",AllReviewsTable[[#This Row],[score]]-5))</calculatedColumnFormula>
    </tableColumn>
    <tableColumn id="17" uniqueName="17" name="nWords" queryTableFieldId="32" dataDxfId="15">
      <calculatedColumnFormula>LEN(TRIM(CLEAN(SUBSTITUTE(AllReviewsTable[[#This Row],[REV_PROP_TXT_FLDS]],CHAR(10)," "))))+1 - LEN(SUBSTITUTE(CLEAN(SUBSTITUTE(AllReviewsTable[[#This Row],[REV_PROP_TXT_FLDS]],CHAR(10)," "))," ",""))</calculatedColumnFormula>
    </tableColumn>
    <tableColumn id="2" uniqueName="2" name="REV_PROP_TXT_FLDS" queryTableFieldId="2" dataDxfId="14"/>
    <tableColumn id="3" uniqueName="3" name="revr_dclr_coi_ind" queryTableFieldId="3" dataDxfId="13"/>
    <tableColumn id="5" uniqueName="5" name="ADDL_SUGG_REVR" queryTableFieldId="5" dataDxfId="12"/>
    <tableColumn id="7" uniqueName="7" name="CNFLCT_INTRST_TXT" queryTableFieldId="7" dataDxfId="11"/>
    <tableColumn id="25" uniqueName="25" name="rev_sent_date" queryTableFieldId="54" dataDxfId="10"/>
    <tableColumn id="26" uniqueName="26" name="rev_panl" queryTableFieldId="55" dataDxfId="9"/>
    <tableColumn id="24" uniqueName="24" name="score" queryTableFieldId="37"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dimension ref="A1:BG48"/>
  <sheetViews>
    <sheetView tabSelected="1" zoomScaleNormal="100" workbookViewId="0">
      <selection activeCell="X1" sqref="X1"/>
    </sheetView>
  </sheetViews>
  <sheetFormatPr defaultRowHeight="15" x14ac:dyDescent="0.25"/>
  <cols>
    <col min="1" max="1" width="14.85546875" customWidth="1"/>
    <col min="2" max="2" width="13.28515625" customWidth="1"/>
    <col min="3" max="3" width="5.7109375" style="8" customWidth="1"/>
    <col min="4" max="4" width="4.140625" customWidth="1"/>
    <col min="5" max="5" width="5.7109375" style="9" customWidth="1"/>
    <col min="6" max="6" width="4.85546875" customWidth="1"/>
    <col min="7" max="7" width="5.42578125" customWidth="1"/>
    <col min="8" max="8" width="6.28515625" customWidth="1"/>
    <col min="9" max="9" width="6.5703125" customWidth="1"/>
    <col min="10" max="10" width="6.140625" customWidth="1"/>
    <col min="11" max="11" width="6.42578125" customWidth="1"/>
    <col min="12" max="17" width="3.7109375" customWidth="1"/>
    <col min="18" max="18" width="6.5703125" customWidth="1"/>
    <col min="19" max="19" width="11" customWidth="1"/>
    <col min="20" max="20" width="11.140625" customWidth="1"/>
    <col min="21" max="22" width="13.28515625" customWidth="1"/>
    <col min="23" max="23" width="4.42578125" customWidth="1"/>
    <col min="24" max="34" width="4.5703125" customWidth="1"/>
    <col min="35" max="35" width="5.28515625" customWidth="1"/>
    <col min="36" max="36" width="5.140625" customWidth="1"/>
    <col min="37" max="37" width="5.7109375" customWidth="1"/>
    <col min="38" max="38" width="8.140625" customWidth="1"/>
    <col min="39" max="45" width="3" customWidth="1"/>
    <col min="46" max="46" width="5.28515625" customWidth="1"/>
    <col min="47" max="47" width="3" customWidth="1"/>
    <col min="48" max="51" width="3.42578125" customWidth="1"/>
    <col min="52" max="52" width="6.7109375" customWidth="1"/>
    <col min="53" max="53" width="9.85546875" customWidth="1"/>
    <col min="54" max="54" width="4.85546875" customWidth="1"/>
    <col min="55" max="55" width="14" customWidth="1"/>
    <col min="56" max="56" width="5.28515625" customWidth="1"/>
    <col min="57" max="58" width="5.85546875" customWidth="1"/>
    <col min="59" max="59" width="6.140625" customWidth="1"/>
    <col min="60" max="65" width="4.42578125" customWidth="1"/>
    <col min="66" max="66" width="6" customWidth="1"/>
    <col min="67" max="73" width="8" customWidth="1"/>
    <col min="74" max="74" width="9.85546875" bestFit="1" customWidth="1"/>
    <col min="75" max="75" width="9.140625" bestFit="1" customWidth="1"/>
    <col min="76" max="76" width="11.85546875" bestFit="1" customWidth="1"/>
    <col min="77" max="77" width="8.5703125" customWidth="1"/>
    <col min="78" max="84" width="8" customWidth="1"/>
    <col min="85" max="85" width="11.140625" bestFit="1" customWidth="1"/>
    <col min="86" max="86" width="8" customWidth="1"/>
    <col min="87" max="87" width="10.5703125" bestFit="1" customWidth="1"/>
    <col min="88" max="88" width="8.140625" customWidth="1"/>
    <col min="89" max="89" width="10.85546875" bestFit="1" customWidth="1"/>
    <col min="90" max="90" width="9.140625" bestFit="1" customWidth="1"/>
    <col min="91" max="97" width="8" customWidth="1"/>
    <col min="98" max="98" width="11.85546875" bestFit="1" customWidth="1"/>
    <col min="99" max="99" width="8.140625" customWidth="1"/>
    <col min="100" max="108" width="8" customWidth="1"/>
    <col min="109" max="109" width="10.85546875" bestFit="1" customWidth="1"/>
    <col min="110" max="110" width="11.140625" bestFit="1" customWidth="1"/>
    <col min="111" max="117" width="8" customWidth="1"/>
    <col min="118" max="118" width="14" bestFit="1" customWidth="1"/>
    <col min="119" max="119" width="10" bestFit="1" customWidth="1"/>
    <col min="120" max="126" width="8" customWidth="1"/>
    <col min="127" max="127" width="12.5703125" bestFit="1" customWidth="1"/>
    <col min="128" max="128" width="12.140625" bestFit="1" customWidth="1"/>
    <col min="129" max="135" width="8" customWidth="1"/>
    <col min="136" max="136" width="15" bestFit="1" customWidth="1"/>
    <col min="137" max="137" width="12.42578125" bestFit="1" customWidth="1"/>
    <col min="138" max="138" width="15.140625" bestFit="1" customWidth="1"/>
    <col min="139" max="139" width="13.42578125" bestFit="1" customWidth="1"/>
    <col min="140" max="147" width="8" customWidth="1"/>
    <col min="148" max="148" width="16.140625" bestFit="1" customWidth="1"/>
    <col min="149" max="149" width="12" bestFit="1" customWidth="1"/>
  </cols>
  <sheetData>
    <row r="1" spans="1:59" s="1" customFormat="1" ht="45" customHeight="1" x14ac:dyDescent="0.25">
      <c r="A1" s="26" t="s">
        <v>111</v>
      </c>
      <c r="B1" s="27" t="s">
        <v>11</v>
      </c>
      <c r="E1" s="52" t="s">
        <v>52</v>
      </c>
      <c r="F1" s="52"/>
      <c r="G1" s="52"/>
      <c r="H1" s="52"/>
      <c r="I1" s="52"/>
      <c r="J1" s="52"/>
      <c r="K1" s="52"/>
      <c r="L1" s="52"/>
      <c r="M1" s="52"/>
      <c r="N1" s="52"/>
      <c r="O1" s="52"/>
      <c r="P1" s="52"/>
      <c r="Q1" s="52"/>
      <c r="R1" s="52"/>
      <c r="S1" s="52"/>
      <c r="T1"/>
      <c r="U1" s="17" t="s">
        <v>29</v>
      </c>
      <c r="V1"/>
      <c r="W1"/>
      <c r="X1" t="s">
        <v>113</v>
      </c>
      <c r="Y1"/>
      <c r="Z1"/>
      <c r="AA1"/>
      <c r="AB1"/>
      <c r="AC1"/>
      <c r="AD1"/>
      <c r="AE1"/>
      <c r="AF1"/>
      <c r="AG1"/>
      <c r="BA1" s="17" t="s">
        <v>29</v>
      </c>
    </row>
    <row r="2" spans="1:59" s="1" customFormat="1" ht="30" customHeight="1" x14ac:dyDescent="0.25">
      <c r="A2" s="25"/>
      <c r="B2" s="4"/>
      <c r="E2" s="21"/>
      <c r="F2" s="21"/>
      <c r="G2" s="21"/>
      <c r="H2" s="21"/>
      <c r="I2" s="21"/>
      <c r="J2" s="21"/>
      <c r="K2" s="21"/>
      <c r="L2" s="21"/>
      <c r="M2" s="21"/>
      <c r="N2" s="21"/>
      <c r="O2" s="21"/>
      <c r="P2" s="21"/>
      <c r="Q2" s="21"/>
      <c r="R2" t="s">
        <v>112</v>
      </c>
      <c r="S2"/>
      <c r="T2"/>
      <c r="U2" s="17"/>
      <c r="V2"/>
      <c r="W2"/>
      <c r="X2"/>
      <c r="Y2"/>
      <c r="Z2"/>
      <c r="AA2"/>
      <c r="AB2"/>
      <c r="AC2"/>
      <c r="AD2"/>
      <c r="AE2"/>
      <c r="AF2"/>
      <c r="AG2"/>
      <c r="BA2" s="17"/>
    </row>
    <row r="3" spans="1:59" s="1" customFormat="1" ht="18.95" customHeight="1" x14ac:dyDescent="0.25">
      <c r="C3" s="17" t="s">
        <v>29</v>
      </c>
      <c r="D3" s="11"/>
      <c r="E3" s="11"/>
      <c r="F3" s="11"/>
      <c r="G3" s="11"/>
      <c r="H3" s="11"/>
      <c r="I3" s="11"/>
      <c r="J3" s="11"/>
      <c r="M3" s="11"/>
      <c r="O3" s="3"/>
      <c r="R3" s="6" t="s">
        <v>43</v>
      </c>
      <c r="S3" t="s">
        <v>100</v>
      </c>
      <c r="T3"/>
      <c r="U3"/>
      <c r="V3"/>
      <c r="W3"/>
      <c r="X3"/>
      <c r="Y3"/>
      <c r="Z3"/>
      <c r="AA3"/>
      <c r="AB3"/>
      <c r="AC3"/>
      <c r="AD3"/>
      <c r="AE3"/>
      <c r="AF3"/>
      <c r="AG3"/>
    </row>
    <row r="4" spans="1:59" x14ac:dyDescent="0.25">
      <c r="A4" s="6" t="s">
        <v>43</v>
      </c>
      <c r="B4" t="s">
        <v>100</v>
      </c>
      <c r="AZ4" s="6" t="s">
        <v>43</v>
      </c>
      <c r="BA4" t="s">
        <v>100</v>
      </c>
    </row>
    <row r="5" spans="1:59" x14ac:dyDescent="0.25">
      <c r="R5" s="6" t="s">
        <v>31</v>
      </c>
      <c r="X5" s="6" t="s">
        <v>15</v>
      </c>
    </row>
    <row r="6" spans="1:59" ht="60" x14ac:dyDescent="0.25">
      <c r="A6" s="6" t="s">
        <v>13</v>
      </c>
      <c r="B6" s="6" t="s">
        <v>32</v>
      </c>
      <c r="C6" s="13" t="s">
        <v>18</v>
      </c>
      <c r="D6" s="13" t="s">
        <v>33</v>
      </c>
      <c r="E6" s="13" t="s">
        <v>19</v>
      </c>
      <c r="F6" s="13" t="s">
        <v>34</v>
      </c>
      <c r="G6" s="13" t="s">
        <v>20</v>
      </c>
      <c r="H6" s="13" t="s">
        <v>21</v>
      </c>
      <c r="I6" s="14" t="s">
        <v>22</v>
      </c>
      <c r="J6" s="13" t="s">
        <v>23</v>
      </c>
      <c r="K6" s="15" t="s">
        <v>24</v>
      </c>
      <c r="R6" s="6" t="s">
        <v>13</v>
      </c>
      <c r="S6" s="6" t="s">
        <v>37</v>
      </c>
      <c r="T6" s="6" t="s">
        <v>4</v>
      </c>
      <c r="U6" s="6" t="s">
        <v>35</v>
      </c>
      <c r="V6" s="6" t="s">
        <v>47</v>
      </c>
      <c r="W6" s="6" t="s">
        <v>28</v>
      </c>
      <c r="X6" s="28" t="s">
        <v>100</v>
      </c>
      <c r="Y6" s="13" t="s">
        <v>14</v>
      </c>
      <c r="AU6" s="12"/>
      <c r="AV6" s="12"/>
      <c r="AW6" s="12"/>
      <c r="AX6" s="12"/>
      <c r="AY6" s="12"/>
      <c r="AZ6" s="6" t="s">
        <v>13</v>
      </c>
      <c r="BA6" s="6" t="s">
        <v>37</v>
      </c>
      <c r="BB6" s="6" t="s">
        <v>28</v>
      </c>
      <c r="BC6" s="6" t="s">
        <v>4</v>
      </c>
      <c r="BD6" s="13" t="s">
        <v>51</v>
      </c>
      <c r="BE6" s="13" t="s">
        <v>48</v>
      </c>
      <c r="BF6" s="13" t="s">
        <v>49</v>
      </c>
      <c r="BG6" s="13" t="s">
        <v>50</v>
      </c>
    </row>
    <row r="7" spans="1:59" x14ac:dyDescent="0.25">
      <c r="A7" s="7" t="s">
        <v>100</v>
      </c>
      <c r="B7" s="7" t="s">
        <v>100</v>
      </c>
      <c r="C7" s="5"/>
      <c r="D7" s="20"/>
      <c r="E7" s="19"/>
      <c r="F7" s="20"/>
      <c r="G7" s="5"/>
      <c r="H7" s="5"/>
      <c r="I7" s="16"/>
      <c r="J7" s="5"/>
      <c r="K7" s="16"/>
      <c r="R7" s="7" t="s">
        <v>100</v>
      </c>
      <c r="S7" t="s">
        <v>100</v>
      </c>
      <c r="T7" t="s">
        <v>100</v>
      </c>
      <c r="U7" t="s">
        <v>100</v>
      </c>
      <c r="V7" t="s">
        <v>100</v>
      </c>
      <c r="W7" t="s">
        <v>100</v>
      </c>
      <c r="X7" s="50"/>
      <c r="Y7" s="49"/>
      <c r="AU7" s="20"/>
      <c r="AV7" s="20"/>
      <c r="AW7" s="20"/>
      <c r="AX7" s="20"/>
      <c r="AY7" s="20"/>
      <c r="AZ7" s="7" t="s">
        <v>100</v>
      </c>
      <c r="BA7" s="7" t="s">
        <v>100</v>
      </c>
      <c r="BB7" s="7" t="s">
        <v>100</v>
      </c>
      <c r="BC7" s="7" t="s">
        <v>100</v>
      </c>
      <c r="BD7" s="5"/>
      <c r="BE7" s="20"/>
      <c r="BF7" s="19"/>
      <c r="BG7" s="5"/>
    </row>
    <row r="8" spans="1:59" x14ac:dyDescent="0.25">
      <c r="A8" s="7" t="s">
        <v>14</v>
      </c>
      <c r="C8" s="5"/>
      <c r="D8" s="20"/>
      <c r="E8" s="19"/>
      <c r="F8" s="20"/>
      <c r="G8" s="5"/>
      <c r="H8" s="5"/>
      <c r="I8" s="16"/>
      <c r="J8" s="5"/>
      <c r="K8" s="16"/>
      <c r="R8" t="s">
        <v>14</v>
      </c>
      <c r="X8" s="19"/>
      <c r="Y8" s="19"/>
      <c r="AU8" s="20"/>
      <c r="AV8" s="20"/>
      <c r="AW8" s="20"/>
      <c r="AX8" s="20"/>
      <c r="AY8" s="20"/>
      <c r="AZ8" s="7" t="s">
        <v>14</v>
      </c>
      <c r="BD8" s="18"/>
      <c r="BE8" s="20"/>
      <c r="BF8" s="19"/>
      <c r="BG8" s="8"/>
    </row>
    <row r="9" spans="1:59" x14ac:dyDescent="0.25">
      <c r="C9"/>
      <c r="E9"/>
      <c r="AU9" s="20"/>
      <c r="AV9" s="20"/>
      <c r="AW9" s="20"/>
      <c r="AX9" s="20"/>
      <c r="AY9" s="20"/>
    </row>
    <row r="10" spans="1:59" ht="15" customHeight="1" x14ac:dyDescent="0.25">
      <c r="C10"/>
      <c r="E10"/>
      <c r="AU10" s="20"/>
      <c r="AV10" s="20"/>
      <c r="AW10" s="20"/>
      <c r="AX10" s="20"/>
      <c r="AY10" s="20"/>
    </row>
    <row r="11" spans="1:59" x14ac:dyDescent="0.25">
      <c r="C11"/>
      <c r="E11"/>
      <c r="AU11" s="20"/>
      <c r="AV11" s="20"/>
      <c r="AW11" s="20"/>
      <c r="AX11" s="20"/>
      <c r="AY11" s="20"/>
    </row>
    <row r="12" spans="1:59" x14ac:dyDescent="0.25">
      <c r="C12"/>
      <c r="E12"/>
      <c r="AU12" s="20"/>
      <c r="AV12" s="20"/>
      <c r="AW12" s="20"/>
      <c r="AX12" s="20"/>
      <c r="AY12" s="20"/>
    </row>
    <row r="13" spans="1:59" x14ac:dyDescent="0.25">
      <c r="C13"/>
      <c r="E13"/>
      <c r="AU13" s="20"/>
      <c r="AV13" s="20"/>
      <c r="AW13" s="20"/>
      <c r="AX13" s="20"/>
      <c r="AY13" s="20"/>
    </row>
    <row r="14" spans="1:59" x14ac:dyDescent="0.25">
      <c r="C14"/>
      <c r="E14"/>
      <c r="AU14" s="20"/>
      <c r="AV14" s="20"/>
      <c r="AW14" s="20"/>
      <c r="AX14" s="20"/>
      <c r="AY14" s="20"/>
    </row>
    <row r="15" spans="1:59" x14ac:dyDescent="0.25">
      <c r="C15"/>
      <c r="E15"/>
      <c r="AU15" s="20"/>
      <c r="AV15" s="20"/>
      <c r="AW15" s="20"/>
      <c r="AX15" s="20"/>
      <c r="AY15" s="20"/>
    </row>
    <row r="16" spans="1:59" x14ac:dyDescent="0.25">
      <c r="C16"/>
      <c r="E16"/>
      <c r="AU16" s="20"/>
      <c r="AV16" s="20"/>
      <c r="AW16" s="20"/>
      <c r="AX16" s="20"/>
      <c r="AY16" s="20"/>
    </row>
    <row r="17" spans="3:51" x14ac:dyDescent="0.25">
      <c r="C17"/>
      <c r="E17"/>
      <c r="AU17" s="20"/>
      <c r="AV17" s="20"/>
      <c r="AW17" s="20"/>
      <c r="AX17" s="20"/>
      <c r="AY17" s="20"/>
    </row>
    <row r="18" spans="3:51" x14ac:dyDescent="0.25">
      <c r="C18"/>
      <c r="E18"/>
      <c r="AU18" s="20"/>
      <c r="AV18" s="20"/>
      <c r="AW18" s="20"/>
      <c r="AX18" s="20"/>
      <c r="AY18" s="20"/>
    </row>
    <row r="19" spans="3:51" x14ac:dyDescent="0.25">
      <c r="C19"/>
      <c r="E19"/>
      <c r="AU19" s="20"/>
      <c r="AV19" s="20"/>
      <c r="AW19" s="20"/>
      <c r="AX19" s="20"/>
      <c r="AY19" s="20"/>
    </row>
    <row r="20" spans="3:51" x14ac:dyDescent="0.25">
      <c r="C20"/>
      <c r="E20"/>
      <c r="AU20" s="20"/>
      <c r="AV20" s="20"/>
      <c r="AW20" s="20"/>
      <c r="AX20" s="20"/>
      <c r="AY20" s="20"/>
    </row>
    <row r="21" spans="3:51" x14ac:dyDescent="0.25">
      <c r="C21"/>
      <c r="E21"/>
      <c r="AU21" s="20"/>
      <c r="AV21" s="20"/>
      <c r="AW21" s="20"/>
      <c r="AX21" s="20"/>
      <c r="AY21" s="20"/>
    </row>
    <row r="22" spans="3:51" x14ac:dyDescent="0.25">
      <c r="C22"/>
      <c r="E22"/>
      <c r="AU22" s="20"/>
      <c r="AV22" s="20"/>
      <c r="AW22" s="20"/>
      <c r="AX22" s="20"/>
      <c r="AY22" s="20"/>
    </row>
    <row r="23" spans="3:51" x14ac:dyDescent="0.25">
      <c r="C23"/>
      <c r="E23"/>
      <c r="AU23" s="20"/>
      <c r="AV23" s="20"/>
      <c r="AW23" s="20"/>
      <c r="AX23" s="20"/>
      <c r="AY23" s="20"/>
    </row>
    <row r="24" spans="3:51" x14ac:dyDescent="0.25">
      <c r="C24"/>
      <c r="E24"/>
      <c r="AU24" s="20"/>
      <c r="AV24" s="20"/>
      <c r="AW24" s="20"/>
      <c r="AX24" s="20"/>
      <c r="AY24" s="20"/>
    </row>
    <row r="25" spans="3:51" x14ac:dyDescent="0.25">
      <c r="C25"/>
      <c r="E25"/>
      <c r="AU25" s="20"/>
      <c r="AV25" s="20"/>
      <c r="AW25" s="20"/>
      <c r="AX25" s="20"/>
      <c r="AY25" s="20"/>
    </row>
    <row r="26" spans="3:51" x14ac:dyDescent="0.25">
      <c r="C26"/>
      <c r="E26"/>
      <c r="AU26" s="20"/>
      <c r="AV26" s="20"/>
      <c r="AW26" s="20"/>
      <c r="AX26" s="20"/>
      <c r="AY26" s="20"/>
    </row>
    <row r="27" spans="3:51" x14ac:dyDescent="0.25">
      <c r="C27"/>
      <c r="E27"/>
      <c r="AU27" s="20"/>
      <c r="AV27" s="20"/>
      <c r="AW27" s="20"/>
      <c r="AX27" s="20"/>
      <c r="AY27" s="20"/>
    </row>
    <row r="28" spans="3:51" x14ac:dyDescent="0.25">
      <c r="C28"/>
      <c r="E28"/>
      <c r="AU28" s="20"/>
      <c r="AV28" s="20"/>
      <c r="AW28" s="20"/>
      <c r="AX28" s="20"/>
      <c r="AY28" s="20"/>
    </row>
    <row r="29" spans="3:51" x14ac:dyDescent="0.25">
      <c r="C29"/>
      <c r="E29"/>
      <c r="AU29" s="20"/>
      <c r="AV29" s="20"/>
      <c r="AW29" s="20"/>
      <c r="AX29" s="20"/>
      <c r="AY29" s="20"/>
    </row>
    <row r="30" spans="3:51" x14ac:dyDescent="0.25">
      <c r="C30"/>
      <c r="E30"/>
      <c r="U30" s="31"/>
      <c r="AU30" s="20"/>
      <c r="AV30" s="20"/>
      <c r="AW30" s="20"/>
      <c r="AX30" s="20"/>
      <c r="AY30" s="20"/>
    </row>
    <row r="31" spans="3:51" x14ac:dyDescent="0.25">
      <c r="C31"/>
      <c r="E31"/>
      <c r="U31" s="31"/>
      <c r="AU31" s="20"/>
      <c r="AV31" s="20"/>
      <c r="AW31" s="20"/>
      <c r="AX31" s="20"/>
      <c r="AY31" s="20"/>
    </row>
    <row r="32" spans="3:51" x14ac:dyDescent="0.25">
      <c r="C32"/>
      <c r="E32"/>
      <c r="U32" s="31"/>
      <c r="AU32" s="20"/>
      <c r="AV32" s="20"/>
      <c r="AW32" s="20"/>
      <c r="AX32" s="20"/>
      <c r="AY32" s="20"/>
    </row>
    <row r="33" spans="3:51" x14ac:dyDescent="0.25">
      <c r="C33"/>
      <c r="E33"/>
      <c r="U33" s="31"/>
      <c r="AU33" s="20"/>
      <c r="AV33" s="20"/>
      <c r="AW33" s="20"/>
      <c r="AX33" s="20"/>
      <c r="AY33" s="20"/>
    </row>
    <row r="34" spans="3:51" x14ac:dyDescent="0.25">
      <c r="C34"/>
      <c r="E34"/>
      <c r="U34" s="31"/>
      <c r="AU34" s="20"/>
      <c r="AV34" s="20"/>
      <c r="AW34" s="20"/>
      <c r="AX34" s="20"/>
      <c r="AY34" s="20"/>
    </row>
    <row r="35" spans="3:51" x14ac:dyDescent="0.25">
      <c r="C35"/>
      <c r="E35"/>
      <c r="U35" s="31"/>
      <c r="AU35" s="20"/>
      <c r="AV35" s="20"/>
      <c r="AW35" s="20"/>
      <c r="AX35" s="20"/>
      <c r="AY35" s="20"/>
    </row>
    <row r="36" spans="3:51" x14ac:dyDescent="0.25">
      <c r="C36"/>
      <c r="E36"/>
      <c r="U36" s="31"/>
      <c r="AU36" s="19"/>
      <c r="AV36" s="19"/>
      <c r="AW36" s="19"/>
      <c r="AX36" s="19"/>
      <c r="AY36" s="19"/>
    </row>
    <row r="37" spans="3:51" x14ac:dyDescent="0.25">
      <c r="U37" s="31"/>
    </row>
    <row r="38" spans="3:51" x14ac:dyDescent="0.25">
      <c r="U38" s="31"/>
    </row>
    <row r="39" spans="3:51" x14ac:dyDescent="0.25">
      <c r="U39" s="31"/>
    </row>
    <row r="40" spans="3:51" x14ac:dyDescent="0.25">
      <c r="U40" s="31"/>
    </row>
    <row r="41" spans="3:51" x14ac:dyDescent="0.25">
      <c r="U41" s="31"/>
    </row>
    <row r="42" spans="3:51" x14ac:dyDescent="0.25">
      <c r="U42" s="31"/>
    </row>
    <row r="43" spans="3:51" x14ac:dyDescent="0.25">
      <c r="U43" s="31"/>
    </row>
    <row r="44" spans="3:51" x14ac:dyDescent="0.25">
      <c r="U44" s="31"/>
    </row>
    <row r="45" spans="3:51" x14ac:dyDescent="0.25">
      <c r="U45" s="31"/>
    </row>
    <row r="46" spans="3:51" x14ac:dyDescent="0.25">
      <c r="U46" s="31"/>
    </row>
    <row r="47" spans="3:51" x14ac:dyDescent="0.25">
      <c r="U47" s="31"/>
    </row>
    <row r="48" spans="3:51" x14ac:dyDescent="0.25">
      <c r="U48" s="31"/>
    </row>
  </sheetData>
  <sortState columnSort="1" ref="R5:AK29">
    <sortCondition ref="X6"/>
  </sortState>
  <mergeCells count="1">
    <mergeCell ref="E1:S1"/>
  </mergeCells>
  <conditionalFormatting pivot="1" sqref="X7:Y8">
    <cfRule type="expression" dxfId="7" priority="1">
      <formula>$V7=X$6</formula>
    </cfRule>
  </conditionalFormatting>
  <pageMargins left="0.7" right="0.7" top="0.75" bottom="0.75" header="0.3" footer="0.3"/>
  <pageSetup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efresh">
                <anchor moveWithCells="1" sizeWithCells="1">
                  <from>
                    <xdr:col>0</xdr:col>
                    <xdr:colOff>76200</xdr:colOff>
                    <xdr:row>1</xdr:row>
                    <xdr:rowOff>19050</xdr:rowOff>
                  </from>
                  <to>
                    <xdr:col>0</xdr:col>
                    <xdr:colOff>942975</xdr:colOff>
                    <xdr:row>1</xdr:row>
                    <xdr:rowOff>323850</xdr:rowOff>
                  </to>
                </anchor>
              </controlPr>
            </control>
          </mc:Choice>
        </mc:AlternateContent>
        <mc:AlternateContent xmlns:mc="http://schemas.openxmlformats.org/markup-compatibility/2006">
          <mc:Choice Requires="x14">
            <control shapeId="1026" r:id="rId8" name="Button 2">
              <controlPr defaultSize="0" print="0" autoFill="0" autoPict="0" macro="[0]!RunMerge">
                <anchor moveWithCells="1" sizeWithCells="1">
                  <from>
                    <xdr:col>1</xdr:col>
                    <xdr:colOff>28575</xdr:colOff>
                    <xdr:row>1</xdr:row>
                    <xdr:rowOff>9525</xdr:rowOff>
                  </from>
                  <to>
                    <xdr:col>2</xdr:col>
                    <xdr:colOff>123825</xdr:colOff>
                    <xdr:row>1</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vSubmit"/>
  <dimension ref="A1:M16"/>
  <sheetViews>
    <sheetView workbookViewId="0">
      <selection activeCell="I3" sqref="I3:I14"/>
    </sheetView>
  </sheetViews>
  <sheetFormatPr defaultRowHeight="15" x14ac:dyDescent="0.25"/>
  <cols>
    <col min="1" max="1" width="19.85546875" customWidth="1"/>
    <col min="2" max="5" width="12" customWidth="1"/>
    <col min="6" max="6" width="26.140625" customWidth="1"/>
    <col min="7" max="8" width="12" customWidth="1"/>
    <col min="9" max="9" width="7.42578125" customWidth="1"/>
    <col min="10" max="10" width="20" customWidth="1"/>
    <col min="11" max="11" width="17.42578125" bestFit="1" customWidth="1"/>
    <col min="12" max="12" width="16.42578125" bestFit="1" customWidth="1"/>
    <col min="13" max="13" width="17.140625" hidden="1" customWidth="1"/>
    <col min="14" max="14" width="16.42578125" bestFit="1" customWidth="1"/>
    <col min="15" max="15" width="15.140625" bestFit="1" customWidth="1"/>
    <col min="16" max="16" width="16.42578125" bestFit="1" customWidth="1"/>
    <col min="17" max="17" width="13.7109375" bestFit="1" customWidth="1"/>
    <col min="18" max="18" width="16.42578125" bestFit="1" customWidth="1"/>
    <col min="19" max="19" width="10.140625" bestFit="1" customWidth="1"/>
    <col min="20" max="21" width="15.7109375" bestFit="1" customWidth="1"/>
    <col min="22" max="22" width="16.42578125" bestFit="1" customWidth="1"/>
    <col min="23" max="23" width="21.42578125" bestFit="1" customWidth="1"/>
    <col min="24" max="24" width="16.28515625" bestFit="1" customWidth="1"/>
    <col min="25" max="25" width="15.42578125" bestFit="1" customWidth="1"/>
    <col min="26" max="26" width="16.140625" bestFit="1" customWidth="1"/>
    <col min="27" max="27" width="15.7109375" bestFit="1" customWidth="1"/>
    <col min="28" max="28" width="16.42578125" bestFit="1" customWidth="1"/>
    <col min="29" max="29" width="11.28515625" bestFit="1" customWidth="1"/>
  </cols>
  <sheetData>
    <row r="1" spans="1:13" x14ac:dyDescent="0.25">
      <c r="A1" s="46" t="str">
        <f>panl_id</f>
        <v>p1888888</v>
      </c>
      <c r="B1" s="31" t="s">
        <v>78</v>
      </c>
      <c r="C1" s="31"/>
      <c r="D1" s="31"/>
      <c r="E1" s="47" t="s">
        <v>89</v>
      </c>
      <c r="G1" s="31"/>
      <c r="H1" s="31"/>
    </row>
    <row r="2" spans="1:13" x14ac:dyDescent="0.25">
      <c r="A2" t="s">
        <v>7</v>
      </c>
      <c r="B2" t="s">
        <v>8</v>
      </c>
      <c r="C2" t="s">
        <v>79</v>
      </c>
      <c r="E2" t="s">
        <v>36</v>
      </c>
      <c r="F2" t="s">
        <v>80</v>
      </c>
      <c r="G2" t="s">
        <v>81</v>
      </c>
      <c r="H2" t="s">
        <v>7</v>
      </c>
      <c r="I2" t="s">
        <v>8</v>
      </c>
      <c r="J2" t="s">
        <v>82</v>
      </c>
      <c r="K2" t="s">
        <v>83</v>
      </c>
      <c r="L2" t="s">
        <v>38</v>
      </c>
      <c r="M2" t="s">
        <v>90</v>
      </c>
    </row>
    <row r="4" spans="1:13" x14ac:dyDescent="0.25">
      <c r="F4" s="31" t="s">
        <v>91</v>
      </c>
      <c r="G4" s="48" t="str">
        <f ca="1">HYPERLINK("mailto:" &amp; OFFSET(M4,-1,0) &amp; "?subject="&amp;A1&amp;" reviews","email reviewers")</f>
        <v>email reviewers</v>
      </c>
    </row>
    <row r="5" spans="1:13" x14ac:dyDescent="0.25">
      <c r="B5" s="31" t="s">
        <v>84</v>
      </c>
      <c r="C5" s="31"/>
    </row>
    <row r="6" spans="1:13" x14ac:dyDescent="0.25">
      <c r="A6" t="s">
        <v>7</v>
      </c>
      <c r="B6" t="s">
        <v>8</v>
      </c>
      <c r="C6" t="s">
        <v>85</v>
      </c>
      <c r="E6" t="s">
        <v>86</v>
      </c>
    </row>
    <row r="7" spans="1:13" x14ac:dyDescent="0.25">
      <c r="E7" t="s">
        <v>87</v>
      </c>
    </row>
    <row r="8" spans="1:13" x14ac:dyDescent="0.25">
      <c r="E8" t="s">
        <v>88</v>
      </c>
    </row>
    <row r="10" spans="1:13" x14ac:dyDescent="0.25">
      <c r="E10" s="47"/>
    </row>
    <row r="12" spans="1:13" x14ac:dyDescent="0.25">
      <c r="F12" s="31"/>
      <c r="G12" s="31"/>
      <c r="H12" s="31"/>
    </row>
    <row r="16" spans="1:13" x14ac:dyDescent="0.25">
      <c r="D16" s="31"/>
    </row>
  </sheetData>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non">
    <pageSetUpPr fitToPage="1"/>
  </sheetPr>
  <dimension ref="A1:AK36"/>
  <sheetViews>
    <sheetView view="pageLayout" zoomScale="80" zoomScaleNormal="100" zoomScalePageLayoutView="80" workbookViewId="0">
      <selection activeCell="B7" sqref="B7"/>
    </sheetView>
  </sheetViews>
  <sheetFormatPr defaultRowHeight="15" x14ac:dyDescent="0.25"/>
  <cols>
    <col min="1" max="1" width="4.42578125" customWidth="1"/>
    <col min="2" max="2" width="19.42578125" customWidth="1"/>
    <col min="3" max="3" width="3.85546875" style="34" customWidth="1"/>
    <col min="4" max="4" width="8.28515625" customWidth="1"/>
    <col min="5" max="12" width="6.140625" customWidth="1"/>
    <col min="13" max="13" width="10.42578125" style="32" customWidth="1"/>
    <col min="14" max="14" width="6.140625" style="32" customWidth="1"/>
    <col min="15" max="15" width="7.140625" style="32" customWidth="1"/>
    <col min="16" max="17" width="6.140625" style="32" customWidth="1"/>
    <col min="18" max="18" width="7.28515625" style="32" customWidth="1"/>
    <col min="19" max="19" width="4.42578125" style="32" customWidth="1"/>
    <col min="20" max="20" width="1.140625" style="32" customWidth="1"/>
    <col min="21" max="21" width="5.85546875" style="32" customWidth="1"/>
    <col min="22" max="22" width="9.5703125" style="32" customWidth="1"/>
    <col min="23" max="23" width="12.42578125" style="32" customWidth="1"/>
    <col min="24" max="24" width="29.28515625" style="32" customWidth="1"/>
    <col min="25" max="25" width="10.85546875" style="34" customWidth="1"/>
    <col min="26" max="37" width="3.5703125" customWidth="1"/>
    <col min="38" max="38" width="4.42578125" customWidth="1"/>
    <col min="39" max="39" width="6.5703125" customWidth="1"/>
    <col min="40" max="40" width="6.140625" customWidth="1"/>
    <col min="41" max="41" width="9.140625" bestFit="1" customWidth="1"/>
    <col min="42" max="42" width="11.85546875" bestFit="1" customWidth="1"/>
    <col min="43" max="43" width="8.5703125" customWidth="1"/>
    <col min="44" max="50" width="8" customWidth="1"/>
    <col min="51" max="51" width="11.140625" bestFit="1" customWidth="1"/>
    <col min="52" max="52" width="8" customWidth="1"/>
    <col min="53" max="53" width="10.5703125" bestFit="1" customWidth="1"/>
    <col min="54" max="54" width="8.140625" customWidth="1"/>
    <col min="55" max="55" width="10.85546875" bestFit="1" customWidth="1"/>
    <col min="56" max="56" width="9.140625" bestFit="1" customWidth="1"/>
    <col min="57" max="63" width="8" customWidth="1"/>
    <col min="64" max="64" width="11.85546875" bestFit="1" customWidth="1"/>
    <col min="65" max="65" width="8.140625" customWidth="1"/>
    <col min="66" max="74" width="8" customWidth="1"/>
    <col min="75" max="75" width="10.85546875" bestFit="1" customWidth="1"/>
    <col min="76" max="76" width="11.140625" bestFit="1" customWidth="1"/>
    <col min="77" max="83" width="8" customWidth="1"/>
    <col min="84" max="84" width="14" bestFit="1" customWidth="1"/>
    <col min="85" max="85" width="10" bestFit="1" customWidth="1"/>
    <col min="86" max="92" width="8" customWidth="1"/>
    <col min="93" max="93" width="12.5703125" bestFit="1" customWidth="1"/>
    <col min="94" max="94" width="12.140625" bestFit="1" customWidth="1"/>
    <col min="95" max="101" width="8" customWidth="1"/>
    <col min="102" max="102" width="15" bestFit="1" customWidth="1"/>
    <col min="103" max="103" width="12.42578125" bestFit="1" customWidth="1"/>
    <col min="104" max="104" width="15.140625" bestFit="1" customWidth="1"/>
    <col min="105" max="105" width="13.42578125" bestFit="1" customWidth="1"/>
    <col min="106" max="113" width="8" customWidth="1"/>
    <col min="114" max="114" width="16.140625" bestFit="1" customWidth="1"/>
    <col min="115" max="115" width="12" bestFit="1" customWidth="1"/>
  </cols>
  <sheetData>
    <row r="1" spans="1:27" x14ac:dyDescent="0.25">
      <c r="A1" s="36" t="s">
        <v>114</v>
      </c>
      <c r="U1" s="6" t="s">
        <v>43</v>
      </c>
      <c r="V1" t="s">
        <v>100</v>
      </c>
    </row>
    <row r="2" spans="1:27" x14ac:dyDescent="0.25">
      <c r="A2" s="36">
        <v>1</v>
      </c>
      <c r="B2" s="36" t="s">
        <v>115</v>
      </c>
      <c r="D2" s="6" t="s">
        <v>43</v>
      </c>
      <c r="E2" t="s">
        <v>100</v>
      </c>
      <c r="F2" s="8"/>
      <c r="H2" s="9"/>
      <c r="M2" s="6" t="s">
        <v>43</v>
      </c>
      <c r="N2" t="s">
        <v>100</v>
      </c>
      <c r="O2" s="8"/>
      <c r="P2"/>
      <c r="Q2" s="9"/>
      <c r="Z2" s="31" t="s">
        <v>54</v>
      </c>
    </row>
    <row r="3" spans="1:27" x14ac:dyDescent="0.25">
      <c r="D3" s="31" t="s">
        <v>54</v>
      </c>
      <c r="F3" s="8"/>
      <c r="H3" s="9"/>
      <c r="M3"/>
      <c r="N3"/>
      <c r="O3" s="8"/>
      <c r="P3"/>
      <c r="Q3" s="9"/>
      <c r="U3" s="6" t="s">
        <v>53</v>
      </c>
      <c r="V3"/>
      <c r="W3"/>
      <c r="X3"/>
      <c r="Y3"/>
      <c r="Z3" s="33" t="s">
        <v>15</v>
      </c>
      <c r="AA3" s="32"/>
    </row>
    <row r="4" spans="1:27" ht="75" x14ac:dyDescent="0.25">
      <c r="B4" s="35" t="str">
        <f>INDEX(Z4:AM4,1,A2)</f>
        <v>(blank)</v>
      </c>
      <c r="D4" s="6" t="s">
        <v>13</v>
      </c>
      <c r="E4" s="13" t="s">
        <v>18</v>
      </c>
      <c r="F4" s="13" t="s">
        <v>33</v>
      </c>
      <c r="G4" s="13" t="s">
        <v>19</v>
      </c>
      <c r="H4" s="13" t="s">
        <v>34</v>
      </c>
      <c r="I4" s="13" t="s">
        <v>20</v>
      </c>
      <c r="M4" s="6" t="s">
        <v>13</v>
      </c>
      <c r="N4" s="37" t="s">
        <v>56</v>
      </c>
      <c r="O4" s="37" t="s">
        <v>25</v>
      </c>
      <c r="P4" s="37" t="s">
        <v>55</v>
      </c>
      <c r="Q4" s="37" t="s">
        <v>26</v>
      </c>
      <c r="U4" s="6" t="s">
        <v>13</v>
      </c>
      <c r="V4" s="6" t="s">
        <v>37</v>
      </c>
      <c r="W4" s="6" t="s">
        <v>4</v>
      </c>
      <c r="X4" s="6" t="s">
        <v>6</v>
      </c>
      <c r="Y4" s="6" t="s">
        <v>47</v>
      </c>
      <c r="Z4" s="12" t="s">
        <v>100</v>
      </c>
      <c r="AA4" s="13" t="s">
        <v>14</v>
      </c>
    </row>
    <row r="5" spans="1:27" x14ac:dyDescent="0.25">
      <c r="D5" t="s">
        <v>100</v>
      </c>
      <c r="E5" s="5"/>
      <c r="F5" s="18"/>
      <c r="G5" s="19"/>
      <c r="H5" s="20"/>
      <c r="I5" s="8"/>
      <c r="M5" s="7" t="s">
        <v>100</v>
      </c>
      <c r="N5" s="5"/>
      <c r="O5" s="16"/>
      <c r="P5" s="5"/>
      <c r="Q5" s="16"/>
      <c r="U5" s="7" t="s">
        <v>100</v>
      </c>
      <c r="V5" s="7" t="s">
        <v>100</v>
      </c>
      <c r="W5" s="7" t="s">
        <v>100</v>
      </c>
      <c r="X5" s="7" t="s">
        <v>100</v>
      </c>
      <c r="Y5" s="7" t="s">
        <v>100</v>
      </c>
      <c r="Z5" s="5"/>
      <c r="AA5" s="8"/>
    </row>
    <row r="6" spans="1:27" x14ac:dyDescent="0.25">
      <c r="D6" t="s">
        <v>57</v>
      </c>
      <c r="E6" s="5"/>
      <c r="F6" s="18"/>
      <c r="G6" s="19"/>
      <c r="H6" s="20"/>
      <c r="I6" s="8"/>
      <c r="M6" s="7" t="s">
        <v>57</v>
      </c>
      <c r="N6" s="5"/>
      <c r="O6" s="16"/>
      <c r="P6" s="5"/>
      <c r="Q6" s="16"/>
      <c r="U6"/>
      <c r="V6"/>
      <c r="W6"/>
      <c r="X6"/>
      <c r="Y6"/>
    </row>
    <row r="7" spans="1:27" x14ac:dyDescent="0.25">
      <c r="M7"/>
      <c r="N7"/>
      <c r="O7"/>
      <c r="P7"/>
      <c r="Q7"/>
      <c r="U7"/>
      <c r="V7"/>
      <c r="W7"/>
      <c r="X7"/>
      <c r="Y7"/>
    </row>
    <row r="8" spans="1:27" ht="15" customHeight="1" x14ac:dyDescent="0.25">
      <c r="M8"/>
      <c r="N8"/>
      <c r="O8"/>
      <c r="P8"/>
      <c r="Q8"/>
      <c r="U8"/>
      <c r="V8"/>
      <c r="W8"/>
      <c r="X8"/>
      <c r="Y8"/>
    </row>
    <row r="9" spans="1:27" x14ac:dyDescent="0.25">
      <c r="M9"/>
      <c r="N9"/>
      <c r="O9"/>
      <c r="P9"/>
      <c r="Q9"/>
      <c r="U9"/>
      <c r="V9"/>
      <c r="W9"/>
      <c r="X9"/>
      <c r="Y9"/>
    </row>
    <row r="10" spans="1:27" x14ac:dyDescent="0.25">
      <c r="M10"/>
      <c r="N10"/>
      <c r="O10"/>
      <c r="P10"/>
      <c r="Q10"/>
      <c r="U10"/>
      <c r="V10"/>
      <c r="W10"/>
      <c r="X10"/>
      <c r="Y10"/>
    </row>
    <row r="11" spans="1:27" x14ac:dyDescent="0.25">
      <c r="M11"/>
      <c r="N11"/>
      <c r="O11"/>
      <c r="P11"/>
      <c r="Q11"/>
      <c r="U11"/>
      <c r="V11"/>
      <c r="W11"/>
      <c r="X11"/>
      <c r="Y11"/>
    </row>
    <row r="12" spans="1:27" x14ac:dyDescent="0.25">
      <c r="M12"/>
      <c r="N12"/>
      <c r="O12"/>
      <c r="P12"/>
      <c r="Q12"/>
      <c r="U12"/>
      <c r="V12"/>
      <c r="W12"/>
      <c r="X12"/>
      <c r="Y12"/>
    </row>
    <row r="13" spans="1:27" x14ac:dyDescent="0.25">
      <c r="M13"/>
      <c r="N13"/>
      <c r="O13"/>
      <c r="P13"/>
      <c r="Q13"/>
      <c r="U13"/>
      <c r="V13"/>
      <c r="W13"/>
      <c r="X13"/>
      <c r="Y13"/>
    </row>
    <row r="14" spans="1:27" x14ac:dyDescent="0.25">
      <c r="M14"/>
      <c r="N14"/>
      <c r="O14"/>
      <c r="P14"/>
      <c r="Q14"/>
      <c r="U14"/>
      <c r="V14"/>
      <c r="W14"/>
      <c r="X14"/>
      <c r="Y14"/>
    </row>
    <row r="15" spans="1:27" x14ac:dyDescent="0.25">
      <c r="M15"/>
      <c r="N15"/>
      <c r="O15"/>
      <c r="P15"/>
      <c r="Q15"/>
      <c r="U15"/>
      <c r="V15"/>
      <c r="W15"/>
      <c r="X15"/>
      <c r="Y15"/>
    </row>
    <row r="16" spans="1:27" x14ac:dyDescent="0.25">
      <c r="M16"/>
      <c r="N16"/>
      <c r="O16"/>
      <c r="P16"/>
      <c r="Q16"/>
      <c r="U16"/>
      <c r="V16"/>
      <c r="W16"/>
      <c r="X16"/>
      <c r="Y16"/>
    </row>
    <row r="17" spans="5:37" x14ac:dyDescent="0.25">
      <c r="M17"/>
      <c r="N17"/>
      <c r="O17"/>
      <c r="P17"/>
      <c r="Q17"/>
      <c r="U17"/>
      <c r="V17"/>
      <c r="W17"/>
      <c r="X17"/>
      <c r="Y17"/>
    </row>
    <row r="18" spans="5:37" x14ac:dyDescent="0.25">
      <c r="M18"/>
      <c r="N18"/>
      <c r="O18"/>
      <c r="P18"/>
      <c r="Q18"/>
      <c r="U18"/>
      <c r="V18"/>
      <c r="W18"/>
      <c r="X18"/>
      <c r="Y18"/>
    </row>
    <row r="19" spans="5:37" x14ac:dyDescent="0.25">
      <c r="M19"/>
      <c r="N19"/>
      <c r="O19"/>
      <c r="P19"/>
      <c r="Q19"/>
      <c r="U19"/>
      <c r="V19"/>
      <c r="W19"/>
      <c r="X19"/>
      <c r="Y19"/>
    </row>
    <row r="20" spans="5:37" x14ac:dyDescent="0.25">
      <c r="U20"/>
      <c r="V20"/>
      <c r="W20"/>
      <c r="X20"/>
      <c r="Y20"/>
    </row>
    <row r="21" spans="5:37" x14ac:dyDescent="0.25">
      <c r="U21"/>
      <c r="V21"/>
      <c r="W21"/>
      <c r="X21"/>
      <c r="Y21"/>
    </row>
    <row r="22" spans="5:37" x14ac:dyDescent="0.25">
      <c r="U22"/>
      <c r="V22"/>
      <c r="W22"/>
      <c r="X22"/>
      <c r="Y22"/>
    </row>
    <row r="23" spans="5:37" x14ac:dyDescent="0.25">
      <c r="U23"/>
      <c r="V23"/>
      <c r="W23"/>
      <c r="X23"/>
      <c r="Y23"/>
    </row>
    <row r="24" spans="5:37" x14ac:dyDescent="0.25">
      <c r="U24"/>
      <c r="V24"/>
      <c r="W24"/>
      <c r="X24"/>
      <c r="Y24"/>
    </row>
    <row r="25" spans="5:37" x14ac:dyDescent="0.25">
      <c r="U25"/>
      <c r="V25"/>
      <c r="W25"/>
      <c r="X25"/>
      <c r="Y25"/>
    </row>
    <row r="26" spans="5:37" x14ac:dyDescent="0.25">
      <c r="U26"/>
      <c r="V26"/>
      <c r="W26"/>
      <c r="X26"/>
      <c r="Y26"/>
    </row>
    <row r="27" spans="5:37" ht="65.650000000000006" customHeight="1" x14ac:dyDescent="0.25">
      <c r="U27"/>
      <c r="V27"/>
      <c r="W27"/>
      <c r="X27"/>
      <c r="Y27"/>
      <c r="Z27" s="51" t="s">
        <v>98</v>
      </c>
      <c r="AA27" s="51" t="s">
        <v>96</v>
      </c>
      <c r="AB27" s="51" t="s">
        <v>96</v>
      </c>
      <c r="AC27" s="51" t="s">
        <v>101</v>
      </c>
      <c r="AD27" s="51" t="s">
        <v>102</v>
      </c>
      <c r="AE27" s="51" t="s">
        <v>103</v>
      </c>
      <c r="AF27" s="51" t="s">
        <v>104</v>
      </c>
      <c r="AG27" s="51" t="s">
        <v>105</v>
      </c>
      <c r="AH27" s="51" t="s">
        <v>97</v>
      </c>
      <c r="AI27" s="51" t="s">
        <v>106</v>
      </c>
      <c r="AJ27" s="51" t="s">
        <v>99</v>
      </c>
      <c r="AK27" s="51" t="s">
        <v>107</v>
      </c>
    </row>
    <row r="28" spans="5:37" x14ac:dyDescent="0.25">
      <c r="U28"/>
      <c r="V28"/>
      <c r="W28"/>
      <c r="X28"/>
      <c r="Y28"/>
    </row>
    <row r="29" spans="5:37" x14ac:dyDescent="0.25">
      <c r="U29"/>
      <c r="V29"/>
      <c r="W29"/>
      <c r="X29"/>
      <c r="Y29"/>
    </row>
    <row r="30" spans="5:37" x14ac:dyDescent="0.25">
      <c r="E30" s="6"/>
      <c r="F30" s="6"/>
      <c r="G30" s="6"/>
      <c r="H30" s="6"/>
      <c r="I30" s="6"/>
      <c r="J30" s="6"/>
      <c r="U30"/>
      <c r="V30"/>
      <c r="W30"/>
      <c r="X30"/>
      <c r="Y30"/>
    </row>
    <row r="31" spans="5:37" x14ac:dyDescent="0.25">
      <c r="U31"/>
      <c r="V31"/>
      <c r="W31"/>
      <c r="X31"/>
      <c r="Y31"/>
    </row>
    <row r="32" spans="5:37" x14ac:dyDescent="0.25">
      <c r="U32"/>
      <c r="V32"/>
      <c r="W32"/>
      <c r="X32"/>
      <c r="Y32"/>
    </row>
    <row r="33" spans="21:25" x14ac:dyDescent="0.25">
      <c r="U33"/>
      <c r="V33"/>
      <c r="W33"/>
      <c r="X33"/>
      <c r="Y33"/>
    </row>
    <row r="34" spans="21:25" x14ac:dyDescent="0.25">
      <c r="U34"/>
      <c r="V34"/>
      <c r="W34"/>
      <c r="X34"/>
      <c r="Y34"/>
    </row>
    <row r="35" spans="21:25" x14ac:dyDescent="0.25">
      <c r="U35"/>
      <c r="V35"/>
      <c r="W35"/>
      <c r="X35"/>
      <c r="Y35"/>
    </row>
    <row r="36" spans="21:25" x14ac:dyDescent="0.25">
      <c r="U36"/>
      <c r="V36"/>
      <c r="W36"/>
      <c r="X36"/>
      <c r="Y36"/>
    </row>
  </sheetData>
  <sortState columnSort="1" ref="U3:AM26">
    <sortCondition ref="Z4"/>
  </sortState>
  <conditionalFormatting sqref="M5:M18 D5:D18">
    <cfRule type="expression" dxfId="6" priority="6">
      <formula>D5&lt;&gt;$B$4</formula>
    </cfRule>
  </conditionalFormatting>
  <conditionalFormatting pivot="1" sqref="Z5:AA5">
    <cfRule type="expression" dxfId="5" priority="3" stopIfTrue="1">
      <formula>SEARCH($Y5,Z$4)&gt;0</formula>
    </cfRule>
  </conditionalFormatting>
  <conditionalFormatting pivot="1" sqref="Z5:AA5">
    <cfRule type="expression" dxfId="4" priority="7">
      <formula>$B$4=Z$4</formula>
    </cfRule>
  </conditionalFormatting>
  <conditionalFormatting pivot="1" sqref="Z5:AA5">
    <cfRule type="expression" dxfId="3" priority="4">
      <formula>Z5&lt;0</formula>
    </cfRule>
  </conditionalFormatting>
  <conditionalFormatting pivot="1" sqref="Z5:AA5">
    <cfRule type="expression" dxfId="2" priority="2" stopIfTrue="1">
      <formula>ISERROR(INDEX($Z5:$AM5,1,$A$2))</formula>
    </cfRule>
  </conditionalFormatting>
  <pageMargins left="0.25" right="0.25" top="0.75" bottom="0.75" header="0.3" footer="0.3"/>
  <pageSetup fitToWidth="0" orientation="landscape" r:id="rId4"/>
  <colBreaks count="1" manualBreakCount="1">
    <brk id="19"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lReviewsRcvd"/>
  <dimension ref="A1:AM15"/>
  <sheetViews>
    <sheetView topLeftCell="G1" zoomScale="115" zoomScaleNormal="115" workbookViewId="0">
      <selection activeCell="Q2" sqref="Q2"/>
    </sheetView>
  </sheetViews>
  <sheetFormatPr defaultColWidth="9.140625" defaultRowHeight="15" customHeight="1" x14ac:dyDescent="0.25"/>
  <cols>
    <col min="1" max="1" width="9.140625" style="1"/>
    <col min="2" max="2" width="4.7109375" style="1" customWidth="1"/>
    <col min="3" max="3" width="8.42578125" style="1" customWidth="1"/>
    <col min="4" max="4" width="12.140625" style="1" customWidth="1"/>
    <col min="5" max="5" width="10.7109375" style="1" customWidth="1"/>
    <col min="6" max="6" width="21.5703125" style="1" customWidth="1"/>
    <col min="7" max="7" width="35.85546875" style="2" customWidth="1"/>
    <col min="8" max="8" width="4.28515625" style="1" customWidth="1"/>
    <col min="9" max="9" width="9" style="1" customWidth="1"/>
    <col min="10" max="10" width="3.42578125" style="1" customWidth="1"/>
    <col min="11" max="11" width="8.85546875" style="1" customWidth="1"/>
    <col min="12" max="12" width="3.7109375" style="1" customWidth="1"/>
    <col min="13" max="13" width="4.7109375" style="1" customWidth="1"/>
    <col min="14" max="14" width="10.7109375" style="1" customWidth="1"/>
    <col min="15" max="15" width="12.42578125" style="1" customWidth="1"/>
    <col min="16" max="16" width="17.140625" style="1" customWidth="1"/>
    <col min="17" max="17" width="16.140625" style="23" customWidth="1"/>
    <col min="18" max="18" width="3.140625" customWidth="1"/>
    <col min="19" max="19" width="2.85546875" customWidth="1"/>
    <col min="20" max="20" width="2.85546875" style="1" customWidth="1"/>
    <col min="21" max="21" width="10.42578125" style="22" customWidth="1"/>
    <col min="22" max="22" width="5.42578125" style="30" customWidth="1"/>
    <col min="23" max="23" width="4" customWidth="1"/>
    <col min="24" max="24" width="6.42578125" style="24" customWidth="1"/>
    <col min="25" max="25" width="46.5703125" style="1" customWidth="1"/>
    <col min="26" max="26" width="15.5703125" style="1" customWidth="1"/>
    <col min="27" max="27" width="25.42578125" style="1" customWidth="1"/>
    <col min="28" max="28" width="19.5703125" style="3" customWidth="1"/>
    <col min="29" max="29" width="9.140625" style="1"/>
    <col min="31" max="31" width="3.28515625" customWidth="1"/>
    <col min="32" max="32" width="5.28515625" style="1" customWidth="1"/>
    <col min="34" max="34" width="10.42578125" style="1" customWidth="1"/>
    <col min="35" max="35" width="10.7109375" style="1" customWidth="1"/>
    <col min="40" max="40" width="8.28515625" style="1" customWidth="1"/>
    <col min="41" max="41" width="9.140625" style="1"/>
    <col min="42" max="42" width="13.5703125" style="1" customWidth="1"/>
    <col min="43" max="47" width="9.140625" style="1"/>
    <col min="48" max="48" width="18.85546875" style="1" bestFit="1" customWidth="1"/>
    <col min="49" max="49" width="10.85546875" style="1" bestFit="1" customWidth="1"/>
    <col min="50" max="16384" width="9.140625" style="1"/>
  </cols>
  <sheetData>
    <row r="1" spans="1:39" ht="15" customHeight="1" x14ac:dyDescent="0.25">
      <c r="A1" s="1" t="s">
        <v>36</v>
      </c>
      <c r="B1" s="1" t="s">
        <v>27</v>
      </c>
      <c r="C1" s="1" t="s">
        <v>37</v>
      </c>
      <c r="D1" s="1" t="s">
        <v>4</v>
      </c>
      <c r="E1" s="1" t="s">
        <v>5</v>
      </c>
      <c r="F1" s="1" t="s">
        <v>35</v>
      </c>
      <c r="G1" s="11" t="s">
        <v>6</v>
      </c>
      <c r="H1" s="1" t="s">
        <v>44</v>
      </c>
      <c r="I1" s="1" t="s">
        <v>45</v>
      </c>
      <c r="J1" s="1" t="s">
        <v>46</v>
      </c>
      <c r="K1" s="1" t="s">
        <v>47</v>
      </c>
      <c r="L1" s="1" t="s">
        <v>28</v>
      </c>
      <c r="M1" s="1" t="s">
        <v>38</v>
      </c>
      <c r="N1" s="1" t="s">
        <v>7</v>
      </c>
      <c r="O1" s="1" t="s">
        <v>8</v>
      </c>
      <c r="P1" s="1" t="s">
        <v>32</v>
      </c>
      <c r="Q1" s="23" t="s">
        <v>9</v>
      </c>
      <c r="R1" s="1" t="s">
        <v>10</v>
      </c>
      <c r="S1" s="1" t="s">
        <v>39</v>
      </c>
      <c r="T1" s="1" t="s">
        <v>40</v>
      </c>
      <c r="U1" s="1" t="s">
        <v>43</v>
      </c>
      <c r="V1" s="30" t="s">
        <v>17</v>
      </c>
      <c r="W1" s="1" t="s">
        <v>30</v>
      </c>
      <c r="X1" s="1" t="s">
        <v>12</v>
      </c>
      <c r="Y1" s="3" t="s">
        <v>0</v>
      </c>
      <c r="Z1" s="1" t="s">
        <v>1</v>
      </c>
      <c r="AA1" s="1" t="s">
        <v>2</v>
      </c>
      <c r="AB1" s="1" t="s">
        <v>3</v>
      </c>
      <c r="AC1" s="22" t="s">
        <v>41</v>
      </c>
      <c r="AD1" s="1" t="s">
        <v>42</v>
      </c>
      <c r="AE1" s="1" t="s">
        <v>16</v>
      </c>
      <c r="AG1" s="1"/>
      <c r="AJ1" s="1"/>
      <c r="AK1" s="1"/>
      <c r="AL1" s="1"/>
      <c r="AM1" s="1"/>
    </row>
    <row r="2" spans="1:39" ht="15" customHeight="1" x14ac:dyDescent="0.25">
      <c r="B2" s="10"/>
      <c r="G2" s="11"/>
      <c r="H2" s="10"/>
      <c r="I2" s="10"/>
      <c r="J2" s="10"/>
      <c r="K2" s="10"/>
      <c r="L2" s="10"/>
      <c r="M2" s="10"/>
      <c r="R2" s="1"/>
      <c r="S2" s="1"/>
      <c r="U2" s="1"/>
      <c r="W2" s="29"/>
      <c r="X2" s="10"/>
      <c r="Y2" s="3"/>
      <c r="AB2" s="1"/>
      <c r="AC2" s="22"/>
      <c r="AD2" s="1"/>
      <c r="AE2" s="1"/>
      <c r="AG2" s="1"/>
      <c r="AJ2" s="1"/>
      <c r="AK2" s="1"/>
      <c r="AL2" s="1"/>
      <c r="AM2" s="1"/>
    </row>
    <row r="3" spans="1:39" ht="15" customHeight="1" x14ac:dyDescent="0.25">
      <c r="AG3" s="1"/>
      <c r="AJ3" s="1"/>
      <c r="AK3" s="1"/>
      <c r="AL3" s="1"/>
      <c r="AM3" s="1"/>
    </row>
    <row r="4" spans="1:39" ht="15" customHeight="1" x14ac:dyDescent="0.25">
      <c r="AG4" s="1"/>
      <c r="AJ4" s="1"/>
      <c r="AK4" s="1"/>
      <c r="AL4" s="1"/>
      <c r="AM4" s="1"/>
    </row>
    <row r="5" spans="1:39" ht="15" customHeight="1" x14ac:dyDescent="0.25">
      <c r="AG5" s="1"/>
      <c r="AJ5" s="1"/>
      <c r="AK5" s="1"/>
      <c r="AL5" s="1"/>
      <c r="AM5" s="1"/>
    </row>
    <row r="6" spans="1:39" ht="15" customHeight="1" x14ac:dyDescent="0.25">
      <c r="AG6" s="1"/>
      <c r="AJ6" s="1"/>
      <c r="AK6" s="1"/>
      <c r="AL6" s="1"/>
      <c r="AM6" s="1"/>
    </row>
    <row r="7" spans="1:39" ht="15" customHeight="1" x14ac:dyDescent="0.25">
      <c r="AG7" s="1"/>
      <c r="AJ7" s="1"/>
      <c r="AK7" s="1"/>
      <c r="AL7" s="1"/>
      <c r="AM7" s="1"/>
    </row>
    <row r="8" spans="1:39" ht="15" customHeight="1" x14ac:dyDescent="0.25">
      <c r="AG8" s="1"/>
      <c r="AJ8" s="1"/>
      <c r="AK8" s="1"/>
      <c r="AL8" s="1"/>
      <c r="AM8" s="1"/>
    </row>
    <row r="9" spans="1:39" ht="15" customHeight="1" x14ac:dyDescent="0.25">
      <c r="AG9" s="1"/>
      <c r="AJ9" s="1"/>
      <c r="AK9" s="1"/>
      <c r="AL9" s="1"/>
      <c r="AM9" s="1"/>
    </row>
    <row r="10" spans="1:39" ht="15" customHeight="1" x14ac:dyDescent="0.25">
      <c r="AG10" s="1"/>
      <c r="AJ10" s="1"/>
      <c r="AK10" s="1"/>
      <c r="AL10" s="1"/>
      <c r="AM10" s="1"/>
    </row>
    <row r="11" spans="1:39" ht="15" customHeight="1" x14ac:dyDescent="0.25">
      <c r="AG11" s="1"/>
      <c r="AJ11" s="1"/>
      <c r="AK11" s="1"/>
      <c r="AL11" s="1"/>
      <c r="AM11" s="1"/>
    </row>
    <row r="12" spans="1:39" ht="15" customHeight="1" x14ac:dyDescent="0.25">
      <c r="AG12" s="1"/>
      <c r="AJ12" s="1"/>
      <c r="AK12" s="1"/>
      <c r="AL12" s="1"/>
      <c r="AM12" s="1"/>
    </row>
    <row r="13" spans="1:39" ht="15" customHeight="1" x14ac:dyDescent="0.25">
      <c r="AG13" s="1"/>
      <c r="AJ13" s="1"/>
      <c r="AK13" s="1"/>
      <c r="AL13" s="1"/>
      <c r="AM13" s="1"/>
    </row>
    <row r="14" spans="1:39" ht="15" customHeight="1" x14ac:dyDescent="0.25">
      <c r="AG14" s="1"/>
      <c r="AJ14" s="1"/>
      <c r="AK14" s="1"/>
      <c r="AL14" s="1"/>
      <c r="AM14" s="1"/>
    </row>
    <row r="15" spans="1:39" ht="15" customHeight="1" x14ac:dyDescent="0.25">
      <c r="AG15" s="1"/>
      <c r="AJ15" s="1"/>
      <c r="AK15" s="1"/>
      <c r="AL15" s="1"/>
      <c r="AM15" s="1"/>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D17"/>
  <sheetViews>
    <sheetView topLeftCell="A16" workbookViewId="0">
      <selection activeCell="C16" sqref="C16"/>
    </sheetView>
  </sheetViews>
  <sheetFormatPr defaultColWidth="9.28515625" defaultRowHeight="15" x14ac:dyDescent="0.25"/>
  <cols>
    <col min="1" max="1" width="16.7109375" style="38" customWidth="1"/>
    <col min="2" max="2" width="17.140625" style="38" customWidth="1"/>
    <col min="3" max="3" width="69.7109375" style="38" customWidth="1"/>
    <col min="4" max="16384" width="9.28515625" style="38"/>
  </cols>
  <sheetData>
    <row r="1" spans="1:4" x14ac:dyDescent="0.25">
      <c r="A1" s="38" t="s">
        <v>58</v>
      </c>
    </row>
    <row r="2" spans="1:4" x14ac:dyDescent="0.25">
      <c r="A2" s="39" t="s">
        <v>59</v>
      </c>
      <c r="B2" s="38" t="s">
        <v>60</v>
      </c>
    </row>
    <row r="3" spans="1:4" x14ac:dyDescent="0.25">
      <c r="A3" s="39" t="s">
        <v>61</v>
      </c>
      <c r="B3" s="40" t="s">
        <v>95</v>
      </c>
    </row>
    <row r="4" spans="1:4" x14ac:dyDescent="0.25">
      <c r="A4" s="39" t="s">
        <v>62</v>
      </c>
      <c r="B4" s="38" t="s">
        <v>63</v>
      </c>
    </row>
    <row r="5" spans="1:4" x14ac:dyDescent="0.25">
      <c r="A5" s="39" t="s">
        <v>64</v>
      </c>
      <c r="B5" s="38" t="s">
        <v>65</v>
      </c>
    </row>
    <row r="10" spans="1:4" x14ac:dyDescent="0.25">
      <c r="A10" s="41" t="s">
        <v>66</v>
      </c>
      <c r="B10" s="42" t="s">
        <v>67</v>
      </c>
      <c r="C10" s="43" t="s">
        <v>68</v>
      </c>
    </row>
    <row r="11" spans="1:4" ht="195" x14ac:dyDescent="0.25">
      <c r="A11" s="38" t="s">
        <v>69</v>
      </c>
      <c r="B11" s="44">
        <v>43269.208414351851</v>
      </c>
      <c r="C11" s="45" t="s">
        <v>70</v>
      </c>
    </row>
    <row r="12" spans="1:4" ht="195" x14ac:dyDescent="0.25">
      <c r="A12" s="38" t="s">
        <v>71</v>
      </c>
      <c r="B12" s="44">
        <v>43269.208414351851</v>
      </c>
      <c r="C12" s="45" t="s">
        <v>72</v>
      </c>
    </row>
    <row r="13" spans="1:4" ht="180" x14ac:dyDescent="0.25">
      <c r="A13" s="38" t="s">
        <v>73</v>
      </c>
      <c r="B13" s="44">
        <v>43269.208414351851</v>
      </c>
      <c r="C13" s="45" t="s">
        <v>74</v>
      </c>
    </row>
    <row r="14" spans="1:4" ht="240" x14ac:dyDescent="0.25">
      <c r="A14" s="38" t="s">
        <v>75</v>
      </c>
      <c r="B14" s="44">
        <v>43269.208414351851</v>
      </c>
      <c r="C14" s="45" t="s">
        <v>76</v>
      </c>
    </row>
    <row r="15" spans="1:4" ht="240" x14ac:dyDescent="0.25">
      <c r="A15" s="38" t="s">
        <v>77</v>
      </c>
      <c r="B15" s="44">
        <v>43269.208414351851</v>
      </c>
      <c r="C15" s="45" t="s">
        <v>92</v>
      </c>
    </row>
    <row r="16" spans="1:4" ht="409.5" x14ac:dyDescent="0.25">
      <c r="A16" s="38" t="s">
        <v>93</v>
      </c>
      <c r="B16" s="44">
        <v>43269.208414351851</v>
      </c>
      <c r="C16" s="45" t="s">
        <v>110</v>
      </c>
      <c r="D16" s="45" t="s">
        <v>94</v>
      </c>
    </row>
    <row r="17" spans="1:3" ht="405" x14ac:dyDescent="0.25">
      <c r="A17" s="38" t="s">
        <v>108</v>
      </c>
      <c r="B17" s="44">
        <v>43269.208414351851</v>
      </c>
      <c r="C17" s="45" t="s">
        <v>109</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Dashboard</vt:lpstr>
      <vt:lpstr>RevSubmit</vt:lpstr>
      <vt:lpstr>Anon</vt:lpstr>
      <vt:lpstr>AllReviewsRcvd</vt:lpstr>
      <vt:lpstr>HiddenSettings</vt:lpstr>
      <vt:lpstr>HiddenSettings!Mac_connect_string</vt:lpstr>
      <vt:lpstr>panl_id</vt:lpstr>
      <vt:lpstr>HiddenSettings!PC_connect_string</vt:lpstr>
      <vt:lpstr>revr_index</vt:lpstr>
      <vt:lpstr>revr_name</vt:lpstr>
      <vt:lpstr>HiddenSettings!rpt_pwd</vt:lpstr>
      <vt:lpstr>HiddenSettings!RS_AllRevs</vt:lpstr>
      <vt:lpstr>HiddenSettings!RS_reviewers</vt:lpstr>
      <vt:lpstr>HiddenSettings!RS_revSave</vt:lpstr>
      <vt:lpstr>HiddenSettings!RS_revSaveInitials</vt:lpstr>
      <vt:lpstr>HiddenSettings!RS_revscores</vt:lpstr>
      <vt:lpstr>HiddenSettings!RS_revSub</vt:lpstr>
      <vt:lpstr>HiddenSettings!RS_revSubInitials</vt:lpstr>
      <vt:lpstr>HiddenSettings!user_id</vt:lpstr>
    </vt:vector>
  </TitlesOfParts>
  <Company>National Science Foundation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Snoeyink, Jack S.</cp:lastModifiedBy>
  <cp:lastPrinted>2018-06-18T12:03:38Z</cp:lastPrinted>
  <dcterms:created xsi:type="dcterms:W3CDTF">2015-08-26T15:28:05Z</dcterms:created>
  <dcterms:modified xsi:type="dcterms:W3CDTF">2018-06-26T22:15:38Z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