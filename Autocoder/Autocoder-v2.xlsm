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Autocoder\"/>
    </mc:Choice>
  </mc:AlternateContent>
  <bookViews>
    <workbookView xWindow="0" yWindow="0" windowWidth="12343" windowHeight="6197"/>
  </bookViews>
  <sheets>
    <sheet name="AutoCoder" sheetId="1" r:id="rId1"/>
    <sheet name="AutoCtxStmt" sheetId="8" r:id="rId2"/>
    <sheet name="CheckBoxer" sheetId="7" r:id="rId3"/>
    <sheet name="Settings" sheetId="6" r:id="rId4"/>
    <sheet name="HiddenSettings" sheetId="5" state="hidden" r:id="rId5"/>
  </sheets>
  <functionGroups builtInGroupCount="18"/>
  <definedNames>
    <definedName name="apply2Collabs">AutoCoder!$G$25</definedName>
    <definedName name="appRsch">AutoCoder!$G$27</definedName>
    <definedName name="assignCtxIndividually">AutoCoder!#REF!</definedName>
    <definedName name="basicRsch">AutoCoder!$G$26</definedName>
    <definedName name="checkCoding" localSheetId="4">HiddenSettings!$C$12</definedName>
    <definedName name="context_id">AutoCtxStmt!$C$4</definedName>
    <definedName name="delayTime">AutoCoder!$G$24</definedName>
    <definedName name="edTrng">AutoCoder!$G$28</definedName>
    <definedName name="landBldg">AutoCoder!$G$30</definedName>
    <definedName name="Mac_connect_string" localSheetId="4">HiddenSettings!$B$5</definedName>
    <definedName name="mjEqmt">AutoCoder!$G$29</definedName>
    <definedName name="nonInv">AutoCoder!$G$31</definedName>
    <definedName name="PC_connect_string" localSheetId="4">HiddenSettings!$B$4</definedName>
    <definedName name="Query_from_RPTSERVER" localSheetId="0" hidden="1">AutoCoder!$K$34:$AP$35</definedName>
    <definedName name="rdTotal">AutoCoder!$G$32</definedName>
    <definedName name="rpt_pwd" comment="reportserver password" localSheetId="4">HiddenSettings!$B$3</definedName>
    <definedName name="user_id" comment="reportserver user_id" localSheetId="4">HiddenSettings!$B$2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" i="6" l="1"/>
  <c r="G32" i="1"/>
</calcChain>
</file>

<file path=xl/connections.xml><?xml version="1.0" encoding="utf-8"?>
<connections xmlns="http://schemas.openxmlformats.org/spreadsheetml/2006/main">
  <connection id="1" name="PRCQuery" type="1" refreshedVersion="6" background="1" saveData="1">
    <dbPr connection="dsn=RPTSERVER;database=rptdb;server=RPTSQL.nsf.gov;port=5000;UID=ccfuser;" command="SET NOCOUNT ON_x000a_SELECT lead_prop_id, prop_id, pi_id INTO #myProp FROM csd.prop prop WHERE prop.prop_id  = ''_x000a_CREATE INDEX myProp_ix ON #myProp(prop_id)_x000a_INSERT #myProp SELECT prop.lead_prop_id, prop.prop_id, prop.pi_id FROM csd.prop prop_x000a_JOIN (SELECT DISTINCT lead_prop_id FROM #myProp WHERE NOT lead_prop_id IS NULL) leads ON leads.lead_prop_id = prop.lead_prop_id _x000a_WHERE NOT EXISTS (SELECT * FROM #myProp p WHERE p.prop_id = prop.prop_id)_x000a_--select * from #myProp order by lead_prop_id, prop_id_x000a__x000a_SELECT prop_id, _x000a_SUM(CASE WHEN pi_gend_code = 'F'THEN 1 ELSE 0 END) AS NfmlPIs,_x000a_SUM(CASE WHEN pi_ethn_code = 'H'THEN 1 ELSE 0 END) AS NhispPIs,_x000a_SUM(CASE WHEN dmog_tbl_code = 'H'AND dmog_code &lt;&gt; 'N' THEN 1 ELSE 0 END) AS NhndcpPIs,_x000a_SUM(CASE WHEN dmog_tbl_code = 'R'AND dmog_code NOT IN ('U','W','B3') THEN 1 ELSE 0 END) AS NnonWhtAsnPIs_x000a_INTO #myDmog FROM (SELECT p.prop_id, pi_id FROM #myProp p _x000a_      UNION ALL SELECT p.prop_id, a.pi_id FROM #myProp p JOIN csd.addl_pi_invl a ON a.prop_id = p.prop_id) PIs_x000a_LEFT JOIN csd.pi_vw pi ON pi.pi_id = PIs.pi_id_x000a_LEFT JOIN csd.PI_dmog d ON d.pi_id = PIs.pi_id_x000a_GROUP BY prop_id_x000a_ORDER BY prop_id_x000a_CREATE INDEX myDmog_idx ON #myDmog(prop_id)_x000a__x000a_SELECT DISTINCT prop.prop_id, pa.prop_atr_code, id=identity(18), 0 as 'seq' INTO #myPRCs_x000a_FROM #myProp prop, csd.prop_atr pa WHERE pa.prop_id = prop.prop_id  AND pa.prop_atr_type_code = 'PRC'_x000a_ORDER BY prop.prop_id, pa.prop_atr_code_x000a_CREATE INDEX myPRCs_idx ON #myPRCs(prop_id)_x000a_SELECT prop_id, MIN(id) as 'start' INTO #myStarts FROM #myPRCs GROUP BY prop_id_x000a_UPDATE #myPRCs set seq = id-M.start FROM #myPRCs r, #myStarts M WHERE r.prop_id = M.prop_id_x000a__x000a_SELECT isnull(prop.lead_prop_id,prop.prop_id) AS lead, _x000a_CASE WHEN prop.lead_prop_id IS NULL THEN 'I' WHEN prop.lead_prop_id &lt;&gt; prop.prop_id THEN 'N' ELSE 'L' END AS ILN, _x000a_prop.prop_id, cntx_stmt_id, pi_last_name, pi_frst_name, inst.inst_shrt_name, inst.st_code,_x000a_prop_stts_abbr, pm_ibm_logn_id, _x000a_bas_rsch_pct, apld_rsch_pct, educ_trng_pct, mjr_equp_pct, land_buld_fix_equp_pct, non_invt_pct,_x000a_prop.org_code, CASE WHEN prop.org_code&lt;&gt;prop.orig_org_code THEN prop.orig_org_code END AS orig_org,_x000a_prop.pgm_ele_code, CASE WHEN prop.pgm_ele_code &lt;&gt; prop.orig_pgm_ele_code THEN prop.orig_pgm_ele_code END AS orig_PEC, _x000a_NfmlPIs,NhispPIs,NhndcpPIs,NnonWhtAsnPIs,_x000a_(SELECT MAX( CASE pa.seq WHEN 0 THEN pa.prop_atr_code ELSE '' END ) + ' ' +_x000a_        MAX( CASE pa.seq WHEN 1 THEN pa.prop_atr_code ELSE '' END ) + ' ' +_x000a_        MAX( CASE pa.seq WHEN 2 THEN pa.prop_atr_code ELSE '' END ) + ' ' +_x000a_        MAX( CASE pa.seq WHEN 3 THEN pa.prop_atr_code ELSE '' END ) + ' ' +_x000a_        MAX( CASE pa.seq WHEN 4 THEN pa.prop_atr_code ELSE '' END ) + ' ' +_x000a_        MAX( CASE pa.seq WHEN 5 THEN pa.prop_atr_code ELSE '' END ) + ' ' +_x000a_        MAX( CASE pa.seq WHEN 6 THEN pa.prop_atr_code ELSE '' END ) FROM #myPRCs pa WHERE p.prop_id = pa.prop_id) AS PRCs,_x000a_pgm_annc_id, prop_titl_txt_x000a_FROM #myProp p, #myDmog d, csd.inst inst, csd.pi_vw pi_vw, csd.prop prop, csd.prop_stts prop_stts_x000a_WHERE prop.pi_id = pi_vw.pi_id AND prop.inst_id = inst.inst_id AND p.prop_id = prop.prop_id _x000a_AND d.prop_id = p.prop_id AND prop.prop_stts_code = prop_stts.prop_stts_code_x000a_ORDER BY lead, ILN, prop.prop_id_x000a_DROP TABLE #myStarts DROP TABLE #myPRCs DROP TABLE #myProp DROP TABLE #myDmog"/>
  </connection>
</connections>
</file>

<file path=xl/sharedStrings.xml><?xml version="1.0" encoding="utf-8"?>
<sst xmlns="http://schemas.openxmlformats.org/spreadsheetml/2006/main" count="155" uniqueCount="146">
  <si>
    <t>prop_id</t>
  </si>
  <si>
    <t>prc1</t>
  </si>
  <si>
    <t>prc2</t>
  </si>
  <si>
    <t>prc3</t>
  </si>
  <si>
    <t>Apply to collabs?</t>
  </si>
  <si>
    <t>Y</t>
  </si>
  <si>
    <t>cntx_stmt_id</t>
  </si>
  <si>
    <t>pi_last_name</t>
  </si>
  <si>
    <t>pi_frst_name</t>
  </si>
  <si>
    <t>PRCs</t>
  </si>
  <si>
    <t>bas_rsch_pct</t>
  </si>
  <si>
    <t>pm_ibm_logn_id</t>
  </si>
  <si>
    <t>prop_stts_abbr</t>
  </si>
  <si>
    <t>org_code</t>
  </si>
  <si>
    <t>orig_org</t>
  </si>
  <si>
    <t>pgm_ele_code</t>
  </si>
  <si>
    <t>orig_PEC</t>
  </si>
  <si>
    <t>line</t>
  </si>
  <si>
    <t># -&gt;xfers</t>
  </si>
  <si>
    <t>delay:</t>
  </si>
  <si>
    <t xml:space="preserve"> -Click here to visit eJacket Group Documents if you need to look up a context statement id. </t>
  </si>
  <si>
    <r>
      <rPr>
        <sz val="10"/>
        <color rgb="FFFF0000"/>
        <rFont val="Calibri"/>
        <family val="2"/>
        <scheme val="minor"/>
      </rPr>
      <t>WARNING:</t>
    </r>
    <r>
      <rPr>
        <sz val="10"/>
        <color theme="1"/>
        <rFont val="Calibri"/>
        <family val="2"/>
        <scheme val="minor"/>
      </rPr>
      <t xml:space="preserve">  this helps avoid the occasional coding mistake by giving you the power to make MANY mistakes quickly.  Use with CAUTION. </t>
    </r>
  </si>
  <si>
    <t>eJ</t>
  </si>
  <si>
    <t>miss</t>
  </si>
  <si>
    <t>apld_rsch_pct</t>
  </si>
  <si>
    <t>educ_trng_pct</t>
  </si>
  <si>
    <t>mjr_equp_pct</t>
  </si>
  <si>
    <t>non_invt_pct</t>
  </si>
  <si>
    <t>Basic Research:</t>
  </si>
  <si>
    <t>%</t>
  </si>
  <si>
    <t>Applied Research:</t>
  </si>
  <si>
    <t>Education and Training:</t>
  </si>
  <si>
    <t>Major Equipment:</t>
  </si>
  <si>
    <t>Land, Building and Fixed Equipment:</t>
  </si>
  <si>
    <t>Non-Investment Activities:</t>
  </si>
  <si>
    <t>Total:</t>
  </si>
  <si>
    <t>land_buld_fix_equp_pct</t>
  </si>
  <si>
    <t>total_RD</t>
  </si>
  <si>
    <t>inst_shrt_name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</si>
  <si>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</si>
  <si>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</si>
  <si>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</si>
  <si>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</si>
  <si>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</si>
  <si>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dsn=RPTSERVER;server=RPTSQL.nsf.gov;port=5000;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</si>
  <si>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</si>
  <si>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</si>
  <si>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</si>
  <si>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</si>
  <si>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</si>
  <si>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checkCoding</t>
  </si>
  <si>
    <t>NfmlPIs</t>
  </si>
  <si>
    <t>NhispPIs</t>
  </si>
  <si>
    <t>NhndcpPIs</t>
  </si>
  <si>
    <t>NnonWhtAsnPIs</t>
  </si>
  <si>
    <t>WMD</t>
  </si>
  <si>
    <t>st_code</t>
  </si>
  <si>
    <t>1=add, 0=ok, -1=delete</t>
  </si>
  <si>
    <t>EPSCoR</t>
  </si>
  <si>
    <t>Current epscor state codes</t>
  </si>
  <si>
    <t>Epscor</t>
  </si>
  <si>
    <t>AL</t>
  </si>
  <si>
    <t>AK</t>
  </si>
  <si>
    <t>AR</t>
  </si>
  <si>
    <t>DE</t>
  </si>
  <si>
    <t>GU</t>
  </si>
  <si>
    <t>HI</t>
  </si>
  <si>
    <t>ID</t>
  </si>
  <si>
    <t>KS</t>
  </si>
  <si>
    <t xml:space="preserve">http://www.epscorideacoalition.org/legislative-action/nsf-epscor-fy-2017 </t>
  </si>
  <si>
    <t>KY</t>
  </si>
  <si>
    <t>MO graduated FY'18</t>
  </si>
  <si>
    <t>LA</t>
  </si>
  <si>
    <t>IA,TN,UT graduated FY'17</t>
  </si>
  <si>
    <t>ME</t>
  </si>
  <si>
    <t>MS</t>
  </si>
  <si>
    <t>MT</t>
  </si>
  <si>
    <t>NE</t>
  </si>
  <si>
    <t>NV</t>
  </si>
  <si>
    <t>NH</t>
  </si>
  <si>
    <t>NM</t>
  </si>
  <si>
    <t>ND</t>
  </si>
  <si>
    <t>OK</t>
  </si>
  <si>
    <t>PR</t>
  </si>
  <si>
    <t>RI</t>
  </si>
  <si>
    <t>SC</t>
  </si>
  <si>
    <t>SD</t>
  </si>
  <si>
    <t>VI</t>
  </si>
  <si>
    <t>VT</t>
  </si>
  <si>
    <t>WV</t>
  </si>
  <si>
    <t>WY</t>
  </si>
  <si>
    <t>propID</t>
  </si>
  <si>
    <t>R/D percentages</t>
  </si>
  <si>
    <t>PI demographics</t>
  </si>
  <si>
    <t xml:space="preserve">WMD </t>
  </si>
  <si>
    <t xml:space="preserve">used to fix PRCs for </t>
  </si>
  <si>
    <t>FY18SMCTX</t>
  </si>
  <si>
    <t>or any place where the checkbox value is a prop_id</t>
  </si>
  <si>
    <t xml:space="preserve">ckBoxer can check boxes associated with proposal ids for when you want to transfer a subset of proposals, or disassociate context statements. </t>
  </si>
  <si>
    <t>1. Use Internet Explorer to navigate to the page in eJacket</t>
  </si>
  <si>
    <r>
      <t xml:space="preserve">2. If not all checkboxes are on the page, click </t>
    </r>
    <r>
      <rPr>
        <b/>
        <sz val="10"/>
        <color theme="1"/>
        <rFont val="Calibri"/>
        <family val="2"/>
        <scheme val="minor"/>
      </rPr>
      <t>View All</t>
    </r>
    <r>
      <rPr>
        <sz val="10"/>
        <color theme="1"/>
        <rFont val="Calibri"/>
        <family val="2"/>
        <scheme val="minor"/>
      </rPr>
      <t xml:space="preserve"> in right side of table header.  </t>
    </r>
  </si>
  <si>
    <t>1. first (green) for a disassociate context page, or other page where each checkbox has a value equal the prop_id.</t>
  </si>
  <si>
    <t>2. second (blue) for a reassign page, where we have to use the hyperlink</t>
  </si>
  <si>
    <t>4. It will report the prop_ids it could not find; all others are clicked on.</t>
  </si>
  <si>
    <t>where we need to get the checkbox from a hyperlink.</t>
  </si>
  <si>
    <r>
      <t xml:space="preserve">Use this button to </t>
    </r>
    <r>
      <rPr>
        <b/>
        <sz val="10"/>
        <color theme="1"/>
        <rFont val="Calibri"/>
        <family val="2"/>
        <scheme val="minor"/>
      </rPr>
      <t>disassociate context statements</t>
    </r>
  </si>
  <si>
    <r>
      <t>Use this button for</t>
    </r>
    <r>
      <rPr>
        <b/>
        <sz val="10"/>
        <color theme="1"/>
        <rFont val="Calibri"/>
        <family val="2"/>
        <scheme val="minor"/>
      </rPr>
      <t xml:space="preserve"> reassignment</t>
    </r>
    <r>
      <rPr>
        <sz val="10"/>
        <color theme="1"/>
        <rFont val="Calibri"/>
        <family val="2"/>
        <scheme val="minor"/>
      </rPr>
      <t>, or any place</t>
    </r>
  </si>
  <si>
    <r>
      <t>This is somewhat experimental, and works with</t>
    </r>
    <r>
      <rPr>
        <b/>
        <sz val="10"/>
        <color theme="1"/>
        <rFont val="Calibri"/>
        <family val="2"/>
        <scheme val="minor"/>
      </rPr>
      <t xml:space="preserve"> Internet Explorer</t>
    </r>
    <r>
      <rPr>
        <sz val="10"/>
        <color theme="1"/>
        <rFont val="Calibri"/>
        <family val="2"/>
        <scheme val="minor"/>
      </rPr>
      <t xml:space="preserve"> on PC only. </t>
    </r>
  </si>
  <si>
    <t>(On Mac, AppleScript+Safari would make this easy, but most staff have PCs, and Safari is not to be used right now - Feb 2018.)</t>
  </si>
  <si>
    <t>CCfdata04/18</t>
  </si>
  <si>
    <t xml:space="preserve">3. Put your proposal ids (paste values) in the appropriate column: </t>
  </si>
  <si>
    <t>add up to 3 prcs</t>
  </si>
  <si>
    <t>delete prc</t>
  </si>
  <si>
    <t>#-&gt;xfer</t>
  </si>
  <si>
    <t>PRCs assigned</t>
  </si>
  <si>
    <r>
      <rPr>
        <b/>
        <u/>
        <sz val="10"/>
        <color theme="1"/>
        <rFont val="Calibri"/>
        <family val="2"/>
        <scheme val="minor"/>
      </rPr>
      <t>AssociateCtx</t>
    </r>
    <r>
      <rPr>
        <sz val="10"/>
        <color theme="1"/>
        <rFont val="Calibri"/>
        <family val="2"/>
        <scheme val="minor"/>
      </rPr>
      <t xml:space="preserve"> to associate many proposals to the same context statement id.  (Will visit eJacket using InternetExplorer on your PC.)</t>
    </r>
  </si>
  <si>
    <r>
      <rPr>
        <b/>
        <u/>
        <sz val="10"/>
        <color theme="1"/>
        <rFont val="Calibri"/>
        <family val="2"/>
        <scheme val="minor"/>
      </rPr>
      <t>Check Coding</t>
    </r>
    <r>
      <rPr>
        <sz val="10"/>
        <color theme="1"/>
        <rFont val="Calibri"/>
        <family val="2"/>
        <scheme val="minor"/>
      </rPr>
      <t xml:space="preserve"> retrieves the gray table with jacket status, which refreshes automatically after coding.  </t>
    </r>
  </si>
  <si>
    <r>
      <rPr>
        <b/>
        <sz val="10"/>
        <color theme="1"/>
        <rFont val="Calibri"/>
        <family val="2"/>
        <scheme val="minor"/>
      </rPr>
      <t>You must list all prop_ids in collab projects.</t>
    </r>
    <r>
      <rPr>
        <sz val="10"/>
        <color theme="1"/>
        <rFont val="Calibri"/>
        <family val="2"/>
        <scheme val="minor"/>
      </rPr>
      <t xml:space="preserve">  (Can copy/paste from grey CheckCoding table on AutoCoder tab, which includes all collabs.)</t>
    </r>
  </si>
  <si>
    <t>prc_del</t>
  </si>
  <si>
    <t>lead</t>
  </si>
  <si>
    <t>ILN</t>
  </si>
  <si>
    <t>pgm_annc_id</t>
  </si>
  <si>
    <t>prop_titl_txt</t>
  </si>
  <si>
    <t>0</t>
  </si>
  <si>
    <t>CREATE INDEX myProp_ix ON #myProp(prop_id)
INSERT #myProp SELECT prop.lead_prop_id, prop.prop_id, prop.pi_id FROM csd.prop prop
JOIN (SELECT DISTINCT lead_prop_id FROM #myProp WHERE NOT lead_prop_id IS NULL) leads ON leads.lead_prop_id = prop.lead_prop_id 
WHERE NOT EXISTS (SELECT * FROM #myProp p WHERE p.prop_id = prop.prop_id)
--select * from #myProp order by lead_prop_id, prop_id
SELECT prop_id, 
SUM(CASE WHEN pi_gend_code = 'F'THEN 1 ELSE 0 END) AS NfmlPIs,
SUM(CASE WHEN pi_ethn_code = 'H'THEN 1 ELSE 0 END) AS NhispPIs,
SUM(CASE WHEN dmog_tbl_code = 'H'AND dmog_code &lt;&gt; 'N' THEN 1 ELSE 0 END) AS NhndcpPIs,
SUM(CASE WHEN dmog_tbl_code = 'R'AND dmog_code NOT IN ('U','W','B3') THEN 1 ELSE 0 END) AS NnonWhtAsnPIs
INTO #myDmog FROM (SELECT p.prop_id, pi_id FROM #myProp p 
      UNION ALL SELECT p.prop_id, a.pi_id FROM #myProp p JOIN csd.addl_pi_invl a ON a.prop_id = p.prop_id) PIs
LEFT JOIN csd.pi_vw pi ON pi.pi_id = PIs.pi_id
LEFT JOIN csd.PI_dmog d ON d.pi_id = PIs.pi_id
GROUP BY prop_id
ORDER BY prop_id
CREATE INDEX myDmog_idx ON #myDmog(prop_id)
SELECT DISTINCT prop.prop_id, pa.prop_atr_code, id=identity(18), 0 as 'seq' INTO #myPRCs
FROM #myProp prop, csd.prop_atr pa WHERE pa.prop_id = prop.prop_id  AND pa.prop_atr_type_code = 'PRC'
ORDER BY prop.prop_id, pa.prop_atr_code
CREATE INDEX myPRCs_idx ON #myPRCs(prop_id)
SELECT prop_id, MIN(id) as 'start' INTO #myStarts FROM #myPRCs GROUP BY prop_id
UPDATE #myPRCs set seq = id-M.start FROM #myPRCs r, #myStarts M WHERE r.prop_id = M.prop_id
SELECT isnull(prop.lead_prop_id,prop.prop_id) AS lead, 
CASE WHEN prop.lead_prop_id IS NULL THEN 'I' WHEN prop.lead_prop_id &lt;&gt; prop.prop_id THEN 'N' ELSE 'L' END AS ILN, 
prop.prop_id, cntx_stmt_id, pi_last_name, pi_frst_name, inst.inst_shrt_name, inst.st_code,
prop_stts_abbr, pm_ibm_logn_id, 
bas_rsch_pct, apld_rsch_pct, educ_trng_pct, mjr_equp_pct, land_buld_fix_equp_pct, non_invt_pct,
prop.org_code, CASE WHEN prop.org_code&lt;&gt;prop.orig_org_code THEN prop.orig_org_code END AS orig_org,
prop.pgm_ele_code, CASE WHEN prop.pgm_ele_code &lt;&gt; prop.orig_pgm_ele_code THEN prop.orig_pgm_ele_code END AS orig_PEC, 
NfmlPIs,NhispPIs,NhndcpPIs,NnonWhtAsnPIs,
(SELECT MAX( CASE pa.seq WHEN 0 THEN pa.prop_atr_code ELSE '' END ) + ' ' +
        MAX( CASE pa.seq WHEN 1 THEN pa.prop_atr_code ELSE '' END ) + ' ' +
        MAX( CASE pa.seq WHEN 2 THEN pa.prop_atr_code ELSE '' END ) + ' ' +
        MAX( CASE pa.seq WHEN 3 THEN pa.prop_atr_code ELSE '' END ) + ' ' +
        MAX( CASE pa.seq WHEN 4 THEN pa.prop_atr_code ELSE '' END ) + ' ' +
        MAX( CASE pa.seq WHEN 5 THEN pa.prop_atr_code ELSE '' END ) + ' ' +
        MAX( CASE pa.seq WHEN 6 THEN pa.prop_atr_code ELSE '' END ) FROM #myPRCs pa WHERE p.prop_id = pa.prop_id) AS PRCs,
pgm_annc_id, prop_titl_txt
FROM #myProp p, #myDmog d, csd.inst inst, csd.pi_vw pi_vw, csd.prop prop, csd.prop_stts prop_stts
WHERE prop.pi_id = pi_vw.pi_id AND prop.inst_id = inst.inst_id AND p.prop_id = prop.prop_id 
AND d.prop_id = p.prop_id AND prop.prop_stts_code = prop_stts.prop_stts_code
ORDER BY lead, ILN, prop.prop_id
DROP TABLE #myStarts DROP TABLE #myPRCs DROP TABLE #myProp DROP TABLE #myDmog</t>
  </si>
  <si>
    <t>PI</t>
  </si>
  <si>
    <t>filter for blank</t>
  </si>
  <si>
    <t>Indiv,Lead,Non</t>
  </si>
  <si>
    <r>
      <rPr>
        <b/>
        <u/>
        <sz val="10"/>
        <color theme="1"/>
        <rFont val="Calibri"/>
        <family val="2"/>
        <scheme val="minor"/>
      </rPr>
      <t>Autocode:</t>
    </r>
    <r>
      <rPr>
        <sz val="10"/>
        <color theme="1"/>
        <rFont val="Calibri"/>
        <family val="2"/>
        <scheme val="minor"/>
      </rPr>
      <t xml:space="preserve"> Visits elacket in IE for each prop_id in the blue table to set R/D allocation %, assign any listed PRCs, and/or delete a PRC.  </t>
    </r>
  </si>
  <si>
    <t xml:space="preserve"> -Needs a rptserver userid and password; see your office admin. Check Remember Me and save;  it will ask again when password changes. </t>
  </si>
  <si>
    <t>How to use:</t>
  </si>
  <si>
    <t xml:space="preserve"> 1. List prop_ids, and up to 3 PRCs  (Program Refereence Codes) to add for each proposal, and 1 to delete.</t>
  </si>
  <si>
    <t xml:space="preserve"> 2. Click Check Coding to see in the grey table what the current codes are.  (Includes all proposals in collaboratives, so may be longer than blue table.)</t>
  </si>
  <si>
    <t xml:space="preserve"> 3. Sort gray table by org, program, status, PD, ... to find proposals that don't belong.  Sort blue by line, remove prop_ids from blue, &amp; click Check Coding tor refresh grey.</t>
  </si>
  <si>
    <t xml:space="preserve"> 4. To set context statements, select the prop_ids (col N, not leads in col K) from the grey table and paste into the orange table on the AutoCtxtStmt tab.</t>
  </si>
  <si>
    <t>&amp; copy prop_ids to AutoCtxtStmt</t>
  </si>
  <si>
    <t xml:space="preserve"> 5. Set R/D allocation at top; Proposals with 0% R/D will get this allocation.  Proposals with 100% will not be changed (change them in eJacket.)</t>
  </si>
  <si>
    <t xml:space="preserve"> 6. Apply to collabs? Y = apply R/D allocation and PRCs to collabs, too. </t>
  </si>
  <si>
    <t xml:space="preserve"> 7. Click AutoCode, confirm that eJacket is logged in by clicking OK to the dialog (may need to click on Excel to see it), and go grab a coffee.</t>
  </si>
  <si>
    <t xml:space="preserve"> 8. Click Fix WMD,EPSCoR, since Apply to Collabs in 6 will mess up these proposal PRCs.</t>
  </si>
  <si>
    <r>
      <t xml:space="preserve"> 9. See what is not done. Blue col A indicates </t>
    </r>
    <r>
      <rPr>
        <b/>
        <u/>
        <sz val="10"/>
        <color theme="1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 xml:space="preserve">rcs missing or needind </t>
    </r>
    <r>
      <rPr>
        <b/>
        <sz val="10"/>
        <color theme="1"/>
        <rFont val="Calibri"/>
        <family val="2"/>
        <scheme val="minor"/>
      </rPr>
      <t>D</t>
    </r>
    <r>
      <rPr>
        <sz val="10"/>
        <color theme="1"/>
        <rFont val="Calibri"/>
        <family val="2"/>
        <scheme val="minor"/>
      </rPr>
      <t>eletion, or research not 100</t>
    </r>
    <r>
      <rPr>
        <b/>
        <sz val="10"/>
        <color theme="1"/>
        <rFont val="Calibri"/>
        <family val="2"/>
        <scheme val="minor"/>
      </rPr>
      <t>%</t>
    </r>
    <r>
      <rPr>
        <sz val="10"/>
        <color theme="1"/>
        <rFont val="Calibri"/>
        <family val="2"/>
        <scheme val="minor"/>
      </rPr>
      <t xml:space="preserve">. </t>
    </r>
  </si>
  <si>
    <t xml:space="preserve">  -is prop already withdrawn? transfer not complete? Or maybe Autocode was too fast for eJ -- increase delay, esp. if using Citrix.</t>
  </si>
  <si>
    <t>10. click Delete Coded and retry 7-9 with what remains.</t>
  </si>
  <si>
    <t>Made a lot of mistakes? delete prc lets you remove an unwanted PRC and CheckBoxer tab can check the boxes to disassociate a context statement.</t>
  </si>
  <si>
    <t xml:space="preserve">RoboRA gives a more complete overviews of project/proposal coding. </t>
  </si>
  <si>
    <t>Made a mistake?  You can fix any of these things in eJacket. (R/D has to be fixed in eJacket.)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</si>
</sst>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********"/>
  </numFmts>
  <fonts count="23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rgb="FFFFD1D1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5" fillId="0" borderId="0"/>
    <xf numFmtId="0" fontId="2" fillId="0" borderId="0"/>
  </cellStyleXfs>
  <cellXfs count="58">
    <xf numFmtId="0" fontId="0" fillId="0" borderId="0" xfId="0"/>
    <xf numFmtId="0" fontId="3" fillId="0" borderId="0" xfId="0" applyFont="1"/>
    <xf numFmtId="0" fontId="9" fillId="0" borderId="0" xfId="0" applyFont="1"/>
    <xf numFmtId="0" fontId="10" fillId="0" borderId="0" xfId="0" applyFont="1"/>
    <xf numFmtId="49" fontId="0" fillId="0" borderId="0" xfId="0" applyNumberFormat="1"/>
    <xf numFmtId="0" fontId="0" fillId="0" borderId="0" xfId="0"/>
    <xf numFmtId="0" fontId="0" fillId="0" borderId="0" xfId="0" applyFill="1"/>
    <xf numFmtId="0" fontId="4" fillId="0" borderId="0" xfId="1"/>
    <xf numFmtId="0" fontId="0" fillId="0" borderId="0" xfId="0"/>
    <xf numFmtId="0" fontId="4" fillId="0" borderId="0" xfId="1"/>
    <xf numFmtId="0" fontId="0" fillId="0" borderId="0" xfId="0"/>
    <xf numFmtId="0" fontId="0" fillId="0" borderId="0" xfId="0" applyAlignment="1">
      <alignment wrapText="1"/>
    </xf>
    <xf numFmtId="9" fontId="0" fillId="0" borderId="0" xfId="0" applyNumberFormat="1"/>
    <xf numFmtId="9" fontId="0" fillId="0" borderId="0" xfId="2" applyFont="1" applyAlignment="1">
      <alignment horizontal="center" vertical="top"/>
    </xf>
    <xf numFmtId="0" fontId="14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9" fontId="12" fillId="0" borderId="1" xfId="0" applyNumberFormat="1" applyFont="1" applyBorder="1"/>
    <xf numFmtId="0" fontId="2" fillId="0" borderId="0" xfId="4" applyProtection="1">
      <protection locked="0"/>
    </xf>
    <xf numFmtId="0" fontId="2" fillId="0" borderId="0" xfId="4" applyAlignment="1" applyProtection="1">
      <alignment horizontal="right"/>
      <protection locked="0"/>
    </xf>
    <xf numFmtId="164" fontId="2" fillId="0" borderId="0" xfId="4" applyNumberFormat="1" applyProtection="1">
      <protection locked="0" hidden="1"/>
    </xf>
    <xf numFmtId="0" fontId="13" fillId="2" borderId="4" xfId="4" applyFont="1" applyFill="1" applyBorder="1"/>
    <xf numFmtId="0" fontId="13" fillId="2" borderId="5" xfId="4" applyFont="1" applyFill="1" applyBorder="1"/>
    <xf numFmtId="0" fontId="13" fillId="2" borderId="6" xfId="4" applyFont="1" applyFill="1" applyBorder="1"/>
    <xf numFmtId="0" fontId="2" fillId="0" borderId="0" xfId="4" applyAlignment="1" applyProtection="1">
      <alignment vertical="center"/>
      <protection locked="0"/>
    </xf>
    <xf numFmtId="22" fontId="2" fillId="0" borderId="0" xfId="4" applyNumberFormat="1" applyAlignment="1" applyProtection="1">
      <alignment vertical="center"/>
      <protection locked="0"/>
    </xf>
    <xf numFmtId="9" fontId="3" fillId="0" borderId="0" xfId="0" applyNumberFormat="1" applyFont="1" applyBorder="1"/>
    <xf numFmtId="0" fontId="0" fillId="0" borderId="0" xfId="0" applyNumberFormat="1" applyFill="1"/>
    <xf numFmtId="49" fontId="15" fillId="0" borderId="0" xfId="0" applyNumberFormat="1" applyFont="1" applyFill="1" applyProtection="1"/>
    <xf numFmtId="49" fontId="0" fillId="0" borderId="0" xfId="0" applyNumberFormat="1" applyFill="1" applyProtection="1">
      <protection locked="0"/>
    </xf>
    <xf numFmtId="0" fontId="16" fillId="0" borderId="0" xfId="1" applyFont="1"/>
    <xf numFmtId="0" fontId="17" fillId="0" borderId="0" xfId="0" applyFont="1"/>
    <xf numFmtId="0" fontId="0" fillId="0" borderId="0" xfId="0" applyFill="1" applyProtection="1">
      <protection locked="0"/>
    </xf>
    <xf numFmtId="0" fontId="0" fillId="0" borderId="0" xfId="0" applyNumberFormat="1"/>
    <xf numFmtId="9" fontId="0" fillId="0" borderId="3" xfId="2" applyFont="1" applyBorder="1" applyAlignment="1">
      <alignment horizontal="center" vertical="top"/>
    </xf>
    <xf numFmtId="49" fontId="0" fillId="0" borderId="3" xfId="2" applyNumberFormat="1" applyFont="1" applyFill="1" applyBorder="1"/>
    <xf numFmtId="0" fontId="4" fillId="0" borderId="0" xfId="1" applyNumberFormat="1" applyAlignment="1">
      <alignment horizontal="center"/>
    </xf>
    <xf numFmtId="49" fontId="0" fillId="0" borderId="0" xfId="2" applyNumberFormat="1" applyFont="1"/>
    <xf numFmtId="49" fontId="0" fillId="0" borderId="0" xfId="0" applyNumberFormat="1" applyFill="1"/>
    <xf numFmtId="0" fontId="0" fillId="0" borderId="0" xfId="0"/>
    <xf numFmtId="0" fontId="0" fillId="0" borderId="0" xfId="0"/>
    <xf numFmtId="0" fontId="0" fillId="0" borderId="0" xfId="0"/>
    <xf numFmtId="0" fontId="19" fillId="0" borderId="0" xfId="0" applyFont="1"/>
    <xf numFmtId="9" fontId="0" fillId="3" borderId="0" xfId="2" applyFont="1" applyFill="1" applyAlignment="1">
      <alignment horizontal="center" vertical="top"/>
    </xf>
    <xf numFmtId="49" fontId="0" fillId="3" borderId="0" xfId="2" applyNumberFormat="1" applyFont="1" applyFill="1"/>
    <xf numFmtId="0" fontId="3" fillId="0" borderId="2" xfId="0" applyFont="1" applyFill="1" applyBorder="1" applyAlignment="1">
      <alignment vertical="center"/>
    </xf>
    <xf numFmtId="0" fontId="1" fillId="0" borderId="7" xfId="0" applyNumberFormat="1" applyFont="1" applyBorder="1" applyAlignment="1">
      <alignment horizontal="center"/>
    </xf>
    <xf numFmtId="0" fontId="1" fillId="0" borderId="0" xfId="4" applyFont="1" applyAlignment="1" applyProtection="1">
      <alignment vertical="center" wrapText="1"/>
      <protection locked="0"/>
    </xf>
    <xf numFmtId="0" fontId="20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wrapText="1"/>
    </xf>
    <xf numFmtId="49" fontId="22" fillId="0" borderId="0" xfId="2" applyNumberFormat="1" applyFont="1" applyFill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9" fillId="0" borderId="3" xfId="0" applyFont="1" applyBorder="1"/>
    <xf numFmtId="0" fontId="0" fillId="0" borderId="3" xfId="0" applyBorder="1"/>
    <xf numFmtId="49" fontId="0" fillId="0" borderId="3" xfId="0" applyNumberFormat="1" applyFill="1" applyBorder="1"/>
    <xf numFmtId="0" fontId="0" fillId="0" borderId="0" xfId="0"/>
    <xf numFmtId="0" fontId="0" fillId="0" borderId="0" xfId="0" applyAlignment="1">
      <alignment vertical="center"/>
    </xf>
    <xf numFmtId="0" fontId="4" fillId="0" borderId="0" xfId="1" applyAlignment="1">
      <alignment vertical="center"/>
    </xf>
  </cellXfs>
  <cellStyles count="5">
    <cellStyle name="Hyperlink" xfId="1" builtinId="8"/>
    <cellStyle name="Normal" xfId="0" builtinId="0"/>
    <cellStyle name="Normal 2" xfId="3"/>
    <cellStyle name="Normal 3" xfId="4"/>
    <cellStyle name="Percent" xfId="2" builtinId="5"/>
  </cellStyles>
  <dxfs count="5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D1D1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numFmt numFmtId="30" formatCode="@"/>
    </dxf>
    <dxf>
      <numFmt numFmtId="30" formatCode="@"/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</dxf>
    <dxf>
      <fill>
        <patternFill patternType="solid">
          <fgColor rgb="FFFFFBEB"/>
          <bgColor rgb="FFFFF4E6"/>
        </patternFill>
      </fill>
      <border>
        <vertical/>
        <horizontal/>
      </border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rgb="FF8F4B1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vertical style="thin">
          <color theme="4" tint="0.79998168889431442"/>
        </vertical>
        <horizontal style="thin">
          <color theme="4" tint="0.79998168889431442"/>
        </horizontal>
      </border>
    </dxf>
  </dxfs>
  <tableStyles count="1" defaultTableStyle="TableStyleMedium2" defaultPivotStyle="PivotStyleLight16">
    <tableStyle name="TableFall" pivot="0" count="4">
      <tableStyleElement type="wholeTable" dxfId="58"/>
      <tableStyleElement type="headerRow" dxfId="57"/>
      <tableStyleElement type="totalRow" dxfId="56"/>
      <tableStyleElement type="firstRowStripe" dxfId="55"/>
    </tableStyle>
  </tableStyles>
  <colors>
    <mruColors>
      <color rgb="FFFFD1D1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32657</xdr:colOff>
          <xdr:row>24</xdr:row>
          <xdr:rowOff>10886</xdr:rowOff>
        </xdr:from>
        <xdr:to>
          <xdr:col>3</xdr:col>
          <xdr:colOff>125186</xdr:colOff>
          <xdr:row>25</xdr:row>
          <xdr:rowOff>32657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32657</xdr:colOff>
          <xdr:row>23</xdr:row>
          <xdr:rowOff>16329</xdr:rowOff>
        </xdr:from>
        <xdr:to>
          <xdr:col>3</xdr:col>
          <xdr:colOff>136071</xdr:colOff>
          <xdr:row>23</xdr:row>
          <xdr:rowOff>217714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Coding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24</xdr:row>
          <xdr:rowOff>0</xdr:rowOff>
        </xdr:from>
        <xdr:to>
          <xdr:col>13</xdr:col>
          <xdr:colOff>457200</xdr:colOff>
          <xdr:row>25</xdr:row>
          <xdr:rowOff>27214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WMD,EPSCoR (9102,9150)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32657</xdr:colOff>
          <xdr:row>25</xdr:row>
          <xdr:rowOff>81643</xdr:rowOff>
        </xdr:from>
        <xdr:to>
          <xdr:col>3</xdr:col>
          <xdr:colOff>125186</xdr:colOff>
          <xdr:row>26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Coded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310243</xdr:colOff>
          <xdr:row>25</xdr:row>
          <xdr:rowOff>92529</xdr:rowOff>
        </xdr:from>
        <xdr:to>
          <xdr:col>12</xdr:col>
          <xdr:colOff>451757</xdr:colOff>
          <xdr:row>26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Filters/Sorts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163286</xdr:colOff>
          <xdr:row>3</xdr:row>
          <xdr:rowOff>21771</xdr:rowOff>
        </xdr:from>
        <xdr:to>
          <xdr:col>1</xdr:col>
          <xdr:colOff>593271</xdr:colOff>
          <xdr:row>3</xdr:row>
          <xdr:rowOff>217714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AssociateCtxt-&gt;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27214</xdr:colOff>
          <xdr:row>13</xdr:row>
          <xdr:rowOff>10886</xdr:rowOff>
        </xdr:from>
        <xdr:to>
          <xdr:col>2</xdr:col>
          <xdr:colOff>332014</xdr:colOff>
          <xdr:row>15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Proposals' CheckBoxes in eJ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13</xdr:row>
          <xdr:rowOff>10886</xdr:rowOff>
        </xdr:from>
        <xdr:to>
          <xdr:col>8</xdr:col>
          <xdr:colOff>250371</xdr:colOff>
          <xdr:row>15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Proposals' CheckBoxes in eJ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47" unboundColumnsLeft="1">
    <queryTableFields count="33">
      <queryTableField id="44" dataBound="0" tableColumnId="5"/>
      <queryTableField id="36" name="lead" tableColumnId="1"/>
      <queryTableField id="37" name="ILN" tableColumnId="2"/>
      <queryTableField id="11" name="cntx_stmt_id" tableColumnId="102"/>
      <queryTableField id="7" name="prop_id" tableColumnId="98"/>
      <queryTableField id="8" name="pi_last_name" tableColumnId="99"/>
      <queryTableField id="9" name="pi_frst_name" tableColumnId="100"/>
      <queryTableField id="10" name="inst_shrt_name" tableColumnId="101"/>
      <queryTableField id="1" name="pm_ibm_logn_id" tableColumnId="92"/>
      <queryTableField id="2" name="prop_stts_abbr" tableColumnId="93"/>
      <queryTableField id="3" name="org_code" tableColumnId="94"/>
      <queryTableField id="4" name="orig_org" tableColumnId="95"/>
      <queryTableField id="5" name="pgm_ele_code" tableColumnId="96"/>
      <queryTableField id="6" name="orig_PEC" tableColumnId="97"/>
      <queryTableField id="12" name="bas_rsch_pct" tableColumnId="103"/>
      <queryTableField id="13" name="apld_rsch_pct" tableColumnId="104"/>
      <queryTableField id="14" name="educ_trng_pct" tableColumnId="105"/>
      <queryTableField id="15" name="mjr_equp_pct" tableColumnId="106"/>
      <queryTableField id="16" name="land_buld_fix_equp_pct" tableColumnId="107"/>
      <queryTableField id="17" name="non_invt_pct" tableColumnId="108"/>
      <queryTableField id="19" dataBound="0" tableColumnId="110"/>
      <queryTableField id="18" name="PRCs" tableColumnId="109"/>
      <queryTableField id="21" name="NfmlPIs" tableColumnId="111"/>
      <queryTableField id="22" name="NhispPIs" tableColumnId="112"/>
      <queryTableField id="23" name="NhndcpPIs" tableColumnId="113"/>
      <queryTableField id="24" name="NnonWhtAsnPIs" tableColumnId="114"/>
      <queryTableField id="31" name="st_code" tableColumnId="117"/>
      <queryTableField id="38" name="pgm_annc_id" tableColumnId="3"/>
      <queryTableField id="25" dataBound="0" tableColumnId="115"/>
      <queryTableField id="33" dataBound="0" tableColumnId="118"/>
      <queryTableField id="34" dataBound="0" tableColumnId="119"/>
      <queryTableField id="45" dataBound="0" tableColumnId="6"/>
      <queryTableField id="39" name="prop_titl_tx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checkPRCs" displayName="checkPRCs" ref="J34:AP35" tableType="queryTable" insertRow="1" totalsRowShown="0" dataDxfId="54">
  <autoFilter ref="J34:AP35"/>
  <sortState ref="J35:AP35">
    <sortCondition ref="K35"/>
    <sortCondition ref="L35"/>
    <sortCondition ref="N35"/>
  </sortState>
  <tableColumns count="33">
    <tableColumn id="5" uniqueName="5" name="0" queryTableFieldId="44" dataDxfId="53">
      <calculatedColumnFormula>OFFSET(checkPRCs[[#This Row],[0]],-1,0)+(checkPRCs[[#This Row],[ILN]]&lt;"M")</calculatedColumnFormula>
    </tableColumn>
    <tableColumn id="1" uniqueName="1" name="lead" queryTableFieldId="36" dataDxfId="52"/>
    <tableColumn id="2" uniqueName="2" name="ILN" queryTableFieldId="37" dataDxfId="51"/>
    <tableColumn id="102" uniqueName="102" name="cntx_stmt_id" queryTableFieldId="11" dataDxfId="50"/>
    <tableColumn id="98" uniqueName="98" name="prop_id" queryTableFieldId="7" dataDxfId="49"/>
    <tableColumn id="99" uniqueName="99" name="pi_last_name" queryTableFieldId="8" dataDxfId="48"/>
    <tableColumn id="100" uniqueName="100" name="pi_frst_name" queryTableFieldId="9" dataDxfId="47"/>
    <tableColumn id="101" uniqueName="101" name="inst_shrt_name" queryTableFieldId="10" dataDxfId="46"/>
    <tableColumn id="92" uniqueName="92" name="pm_ibm_logn_id" queryTableFieldId="1" dataDxfId="45"/>
    <tableColumn id="93" uniqueName="93" name="prop_stts_abbr" queryTableFieldId="2" dataDxfId="44"/>
    <tableColumn id="94" uniqueName="94" name="org_code" queryTableFieldId="3" dataDxfId="43"/>
    <tableColumn id="95" uniqueName="95" name="orig_org" queryTableFieldId="4" dataDxfId="42"/>
    <tableColumn id="96" uniqueName="96" name="pgm_ele_code" queryTableFieldId="5" dataDxfId="41"/>
    <tableColumn id="97" uniqueName="97" name="orig_PEC" queryTableFieldId="6" dataDxfId="40"/>
    <tableColumn id="103" uniqueName="103" name="bas_rsch_pct" queryTableFieldId="12" dataDxfId="39"/>
    <tableColumn id="104" uniqueName="104" name="apld_rsch_pct" queryTableFieldId="13" dataDxfId="38"/>
    <tableColumn id="105" uniqueName="105" name="educ_trng_pct" queryTableFieldId="14" dataDxfId="37"/>
    <tableColumn id="106" uniqueName="106" name="mjr_equp_pct" queryTableFieldId="15" dataDxfId="36"/>
    <tableColumn id="107" uniqueName="107" name="land_buld_fix_equp_pct" queryTableFieldId="16" dataDxfId="35"/>
    <tableColumn id="108" uniqueName="108" name="non_invt_pct" queryTableFieldId="17" dataDxfId="34"/>
    <tableColumn id="110" uniqueName="110" name="total_RD" queryTableFieldId="19" dataDxfId="33">
      <calculatedColumnFormula>SUM(checkPRCs[[#This Row],[bas_rsch_pct]:[non_invt_pct]])</calculatedColumnFormula>
    </tableColumn>
    <tableColumn id="109" uniqueName="109" name="PRCs" queryTableFieldId="18" dataDxfId="32"/>
    <tableColumn id="111" uniqueName="111" name="NfmlPIs" queryTableFieldId="21" dataDxfId="31"/>
    <tableColumn id="112" uniqueName="112" name="NhispPIs" queryTableFieldId="22" dataDxfId="30"/>
    <tableColumn id="113" uniqueName="113" name="NhndcpPIs" queryTableFieldId="23" dataDxfId="29"/>
    <tableColumn id="114" uniqueName="114" name="NnonWhtAsnPIs" queryTableFieldId="24" dataDxfId="28"/>
    <tableColumn id="117" uniqueName="117" name="st_code" queryTableFieldId="31" dataDxfId="27"/>
    <tableColumn id="3" uniqueName="3" name="pgm_annc_id" queryTableFieldId="38" dataDxfId="26"/>
    <tableColumn id="115" uniqueName="115" name="WMD" queryTableFieldId="25" dataDxfId="25">
      <calculatedColumnFormula>(SUM(checkPRCs[[#This Row],[NfmlPIs]:[NnonWhtAsnPIs]])&gt;0)*1  - 1*IFERROR(FIND("9102",checkPRCs[[#This Row],[PRCs]])&gt;0,0)</calculatedColumnFormula>
    </tableColumn>
    <tableColumn id="118" uniqueName="118" name="EPSCoR" queryTableFieldId="33" dataDxfId="24">
      <calculatedColumnFormula>IFERROR(MATCH(checkPRCs[st_code],EpscorTable[Epscor],0)&gt;0,0)*1  - 1*IFERROR(FIND("9150",checkPRCs[PRCs])&gt;0,0)</calculatedColumnFormula>
    </tableColumn>
    <tableColumn id="119" uniqueName="119" name="propID" queryTableFieldId="34" dataDxfId="23">
      <calculatedColumnFormula>checkPRCs[[#This Row],[prop_id]]</calculatedColumnFormula>
    </tableColumn>
    <tableColumn id="6" uniqueName="6" name="PI" queryTableFieldId="45" dataDxfId="22">
      <calculatedColumnFormula>checkPRCs[[#This Row],[pi_last_name]]</calculatedColumnFormula>
    </tableColumn>
    <tableColumn id="4" uniqueName="4" name="prop_titl_txt" queryTableFieldId="39" dataDxfId="21"/>
  </tableColumns>
  <tableStyleInfo name="TableStyleMedium4" showFirstColumn="0" showLastColumn="0" showRowStripes="0" showColumnStripes="0"/>
</table>
</file>

<file path=xl/tables/table2.xml><?xml version="1.0" encoding="utf-8"?>
<table xmlns="http://schemas.openxmlformats.org/spreadsheetml/2006/main" id="1" name="propTable" displayName="propTable" ref="A34:H35" insertRow="1" totalsRowShown="0">
  <autoFilter ref="A34:H35"/>
  <sortState ref="A35:H35">
    <sortCondition descending="1" ref="A34:A35"/>
  </sortState>
  <tableColumns count="8">
    <tableColumn id="8" name="miss" dataDxfId="20">
      <calculatedColumnFormula>CONCATENATE(IFERROR(IF(INDEX(checkPRCs[total_RD],propTable[[#This Row],[line]])=1,"","%"),"?"),IFERROR(IF(AND(OR(ISBLANK(propTable[[#This Row],[prc1]]),SEARCH(propTable[[#This Row],[prc1]],INDEX(checkPRCs[PRCs],propTable[[#This Row],[line]]))&gt;0),OR(ISBLANK(propTable[[#This Row],[prc2]]),SEARCH(propTable[[#This Row],[prc2]],INDEX(checkPRCs[PRCs],propTable[[#This Row],[line]]))&gt;0),OR(ISBLANK(propTable[[#This Row],[prc3]]),SEARCH(propTable[[#This Row],[prc3]],INDEX(checkPRCs[PRCs],propTable[[#This Row],[line]]))&gt;0)),"","p"),"P"),IFERROR(IF(OR(ISBLANK(propTable[[#This Row],[prc_del]]),SEARCH(propTable[[#This Row],[prc_del]],INDEX(checkPRCs[PRCs],propTable[[#This Row],[line]]))&lt;1),"","D"),""))</calculatedColumnFormula>
    </tableColumn>
    <tableColumn id="9" name="line" dataDxfId="19">
      <calculatedColumnFormula>MATCH(TEXT(SUBSTITUTE(propTable[[#This Row],[prop_id]],CHAR(160),""),"0000000"),checkPRCs[prop_id],0)</calculatedColumnFormula>
    </tableColumn>
    <tableColumn id="6" name="eJ" dataDxfId="18" dataCellStyle="Hyperlink">
      <calculatedColumnFormula>HYPERLINK(CONCATENATE("https://www.ejacket.nsf.gov/ej/showProposal.do?Continue=Y&amp;ID=",TEXT(SUBSTITUTE(propTable[[#This Row],[prop_id]],CHAR(160),""),"0000000")),"eJ")</calculatedColumnFormula>
    </tableColumn>
    <tableColumn id="1" name="prop_id" dataDxfId="17"/>
    <tableColumn id="3" name="prc1" dataDxfId="16" dataCellStyle="Percent"/>
    <tableColumn id="4" name="prc2" dataDxfId="15" dataCellStyle="Percent"/>
    <tableColumn id="5" name="prc3" dataDxfId="14" dataCellStyle="Percent"/>
    <tableColumn id="7" name="prc_del" dataDxfId="13" dataCellStyle="Percent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7" name="ctxtProps" displayName="ctxtProps" ref="B5:B6" insertRow="1" totalsRowShown="0" dataDxfId="12">
  <autoFilter ref="B5:B6"/>
  <tableColumns count="1">
    <tableColumn id="1" name="prop_id" dataDxfId="11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3" name="ckBoxerProps" displayName="ckBoxerProps" ref="B17:B18" insertRow="1" totalsRowShown="0" dataDxfId="10">
  <autoFilter ref="B17:B18"/>
  <tableColumns count="1">
    <tableColumn id="1" name="prop_id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ckBoxerProps2" displayName="ckBoxerProps2" ref="H17:H18" insertRow="1" totalsRowShown="0" dataDxfId="8">
  <autoFilter ref="H17:H18"/>
  <tableColumns count="1">
    <tableColumn id="1" name="prop_id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EpscorTable" displayName="EpscorTable" ref="A2:A30" totalsRowCount="1" headerRowDxfId="6" dataDxfId="5">
  <autoFilter ref="A2:A29"/>
  <tableColumns count="1">
    <tableColumn id="1" name="Epscor" totalsRowFunction="count" dataDxfId="4" totalsRowDxfId="3"/>
  </tableColumns>
  <tableStyleInfo name="TableFall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ejacket.nsf.gov/ej/searchContextStatements.do?dispatch=show" TargetMode="Externa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://www.epscorideacoalition.org/legislative-action/nsf-epscor-fy-2017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utoCoder"/>
  <dimension ref="A1:AP35"/>
  <sheetViews>
    <sheetView tabSelected="1" zoomScaleNormal="100" workbookViewId="0">
      <selection activeCell="A20" sqref="A20:A22"/>
    </sheetView>
  </sheetViews>
  <sheetFormatPr defaultRowHeight="12.9" x14ac:dyDescent="0.35"/>
  <cols>
    <col min="1" max="2" width="4.75" customWidth="1"/>
    <col min="3" max="3" width="2.83203125" style="7" customWidth="1"/>
    <col min="4" max="4" width="9" customWidth="1"/>
    <col min="5" max="5" width="6.75" customWidth="1"/>
    <col min="6" max="8" width="5.4140625" customWidth="1"/>
    <col min="9" max="9" width="5.4140625" style="39" customWidth="1"/>
    <col min="10" max="10" width="4.75" hidden="1" customWidth="1"/>
    <col min="11" max="11" width="10.58203125" style="39" customWidth="1"/>
    <col min="12" max="12" width="2.6640625" style="4" customWidth="1"/>
    <col min="13" max="13" width="10.58203125" customWidth="1"/>
    <col min="14" max="14" width="9.25" customWidth="1"/>
    <col min="15" max="15" width="11.4140625" customWidth="1"/>
    <col min="16" max="16" width="11.58203125" customWidth="1"/>
    <col min="17" max="17" width="20.1640625" customWidth="1"/>
    <col min="18" max="18" width="8.4140625" customWidth="1"/>
    <col min="19" max="19" width="6.1640625" customWidth="1"/>
    <col min="20" max="21" width="9.1640625" customWidth="1"/>
    <col min="22" max="23" width="6.25" customWidth="1"/>
    <col min="24" max="24" width="5.4140625" customWidth="1"/>
    <col min="25" max="29" width="5.4140625" style="8" customWidth="1"/>
    <col min="30" max="30" width="5.4140625" customWidth="1"/>
    <col min="31" max="31" width="22.83203125" style="8" customWidth="1"/>
    <col min="32" max="34" width="3.25" style="8" customWidth="1"/>
    <col min="35" max="36" width="3.25" style="40" customWidth="1"/>
    <col min="37" max="37" width="9.1640625" style="40" customWidth="1"/>
    <col min="38" max="38" width="3.25" style="40" customWidth="1"/>
    <col min="39" max="39" width="3.25" style="8" customWidth="1"/>
    <col min="40" max="40" width="8.58203125" style="8" customWidth="1"/>
    <col min="41" max="41" width="8.58203125" style="40" customWidth="1"/>
    <col min="42" max="42" width="69.1640625" style="8" customWidth="1"/>
  </cols>
  <sheetData>
    <row r="1" spans="1:18" x14ac:dyDescent="0.35">
      <c r="A1" s="55" t="s">
        <v>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s="40" customFormat="1" x14ac:dyDescent="0.35"/>
    <row r="3" spans="1:18" x14ac:dyDescent="0.35">
      <c r="A3" s="55" t="s">
        <v>128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x14ac:dyDescent="0.35">
      <c r="A4" s="55" t="s">
        <v>116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x14ac:dyDescent="0.35">
      <c r="A5" s="55" t="s">
        <v>129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s="40" customFormat="1" x14ac:dyDescent="0.35"/>
    <row r="7" spans="1:18" x14ac:dyDescent="0.35">
      <c r="A7" t="s">
        <v>130</v>
      </c>
    </row>
    <row r="8" spans="1:18" x14ac:dyDescent="0.35">
      <c r="A8" s="40" t="s">
        <v>131</v>
      </c>
    </row>
    <row r="9" spans="1:18" x14ac:dyDescent="0.35">
      <c r="A9" t="s">
        <v>132</v>
      </c>
    </row>
    <row r="10" spans="1:18" s="40" customFormat="1" x14ac:dyDescent="0.35">
      <c r="A10" s="40" t="s">
        <v>133</v>
      </c>
      <c r="C10" s="9"/>
      <c r="L10" s="4"/>
    </row>
    <row r="11" spans="1:18" s="40" customFormat="1" x14ac:dyDescent="0.35">
      <c r="A11" s="40" t="s">
        <v>134</v>
      </c>
      <c r="C11" s="9"/>
      <c r="L11" s="4"/>
    </row>
    <row r="12" spans="1:18" s="40" customFormat="1" x14ac:dyDescent="0.35">
      <c r="A12" s="40" t="s">
        <v>136</v>
      </c>
      <c r="C12" s="9"/>
      <c r="L12" s="4"/>
    </row>
    <row r="13" spans="1:18" s="40" customFormat="1" x14ac:dyDescent="0.35">
      <c r="A13" t="s">
        <v>137</v>
      </c>
      <c r="C13" s="9"/>
      <c r="L13" s="4"/>
    </row>
    <row r="14" spans="1:18" x14ac:dyDescent="0.35">
      <c r="A14" s="40" t="s">
        <v>138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</row>
    <row r="15" spans="1:18" x14ac:dyDescent="0.35">
      <c r="A15" t="s">
        <v>139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</row>
    <row r="16" spans="1:18" x14ac:dyDescent="0.35">
      <c r="A16" s="55" t="s">
        <v>140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</row>
    <row r="17" spans="1:41" x14ac:dyDescent="0.35">
      <c r="A17" s="55" t="s">
        <v>141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</row>
    <row r="18" spans="1:41" s="40" customFormat="1" x14ac:dyDescent="0.35">
      <c r="A18" t="s">
        <v>142</v>
      </c>
    </row>
    <row r="19" spans="1:41" s="40" customFormat="1" x14ac:dyDescent="0.35"/>
    <row r="20" spans="1:41" s="40" customFormat="1" x14ac:dyDescent="0.35">
      <c r="A20" s="40" t="s">
        <v>144</v>
      </c>
    </row>
    <row r="21" spans="1:41" s="40" customFormat="1" x14ac:dyDescent="0.35">
      <c r="A21" s="40" t="s">
        <v>145</v>
      </c>
    </row>
    <row r="22" spans="1:41" s="40" customFormat="1" x14ac:dyDescent="0.35">
      <c r="A22" s="40" t="s">
        <v>143</v>
      </c>
    </row>
    <row r="23" spans="1:41" ht="19" customHeight="1" x14ac:dyDescent="0.35"/>
    <row r="24" spans="1:41" ht="19.5" customHeight="1" x14ac:dyDescent="0.35">
      <c r="F24" s="14" t="s">
        <v>19</v>
      </c>
      <c r="G24" s="1">
        <v>25</v>
      </c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AD24" s="8"/>
    </row>
    <row r="25" spans="1:41" s="8" customFormat="1" x14ac:dyDescent="0.35">
      <c r="A25"/>
      <c r="B25" s="7"/>
      <c r="C25"/>
      <c r="D25"/>
      <c r="E25"/>
      <c r="F25" s="14" t="s">
        <v>4</v>
      </c>
      <c r="G25" s="1" t="s">
        <v>5</v>
      </c>
      <c r="H25"/>
      <c r="I25" s="39"/>
      <c r="J25" s="4"/>
      <c r="K25" s="4"/>
      <c r="AI25" s="40"/>
      <c r="AJ25" s="40"/>
      <c r="AK25" s="40"/>
      <c r="AL25" s="40"/>
      <c r="AO25" s="40"/>
    </row>
    <row r="26" spans="1:41" s="8" customFormat="1" x14ac:dyDescent="0.35">
      <c r="A26"/>
      <c r="B26"/>
      <c r="C26" s="7"/>
      <c r="F26" s="14" t="s">
        <v>28</v>
      </c>
      <c r="G26" s="25">
        <v>1</v>
      </c>
      <c r="H26" s="11"/>
      <c r="I26" s="11"/>
      <c r="J26" s="4"/>
      <c r="K26" s="4"/>
      <c r="L26" s="4"/>
      <c r="M26"/>
      <c r="N26"/>
      <c r="S26"/>
      <c r="T26"/>
      <c r="U26"/>
      <c r="V26"/>
      <c r="W26"/>
      <c r="X26"/>
      <c r="AD26"/>
      <c r="AI26" s="40"/>
      <c r="AJ26" s="40"/>
      <c r="AK26" s="40"/>
      <c r="AL26" s="40"/>
      <c r="AO26" s="40"/>
    </row>
    <row r="27" spans="1:41" s="8" customFormat="1" x14ac:dyDescent="0.35">
      <c r="B27" s="9"/>
      <c r="F27" s="14" t="s">
        <v>30</v>
      </c>
      <c r="G27" s="25" t="s">
        <v>29</v>
      </c>
      <c r="I27" s="39"/>
      <c r="J27" s="4"/>
      <c r="K27" s="4"/>
      <c r="AI27" s="40"/>
      <c r="AJ27" s="40"/>
      <c r="AK27" s="40"/>
      <c r="AL27" s="40"/>
      <c r="AO27" s="40"/>
    </row>
    <row r="28" spans="1:41" s="8" customFormat="1" x14ac:dyDescent="0.35">
      <c r="B28" s="9"/>
      <c r="F28" s="14" t="s">
        <v>31</v>
      </c>
      <c r="G28" s="25" t="s">
        <v>29</v>
      </c>
      <c r="I28" s="39"/>
      <c r="J28" s="4"/>
      <c r="K28" s="4"/>
      <c r="AI28" s="40"/>
      <c r="AJ28" s="40"/>
      <c r="AK28" s="40"/>
      <c r="AL28" s="40"/>
      <c r="AO28" s="40"/>
    </row>
    <row r="29" spans="1:41" s="8" customFormat="1" x14ac:dyDescent="0.35">
      <c r="B29" s="9"/>
      <c r="F29" s="14" t="s">
        <v>32</v>
      </c>
      <c r="G29" s="25" t="s">
        <v>29</v>
      </c>
      <c r="I29" s="39"/>
      <c r="J29" s="4"/>
      <c r="K29" s="4"/>
      <c r="AI29" s="40"/>
      <c r="AJ29" s="40"/>
      <c r="AK29" s="40"/>
      <c r="AL29" s="40"/>
      <c r="AO29" s="40"/>
    </row>
    <row r="30" spans="1:41" s="8" customFormat="1" x14ac:dyDescent="0.35">
      <c r="B30" s="9"/>
      <c r="F30" s="14" t="s">
        <v>33</v>
      </c>
      <c r="G30" s="25" t="s">
        <v>29</v>
      </c>
      <c r="I30" s="39"/>
      <c r="J30" s="4"/>
      <c r="K30" s="4"/>
      <c r="AI30" s="40"/>
      <c r="AJ30" s="40"/>
      <c r="AK30" s="40"/>
      <c r="AL30" s="40"/>
      <c r="AO30" s="40"/>
    </row>
    <row r="31" spans="1:41" s="5" customFormat="1" ht="12" customHeight="1" x14ac:dyDescent="0.35">
      <c r="A31" s="8"/>
      <c r="B31" s="9"/>
      <c r="C31" s="8"/>
      <c r="F31" s="14" t="s">
        <v>34</v>
      </c>
      <c r="G31" s="25" t="s">
        <v>29</v>
      </c>
      <c r="H31" s="8"/>
      <c r="I31" s="39"/>
      <c r="J31" s="4"/>
      <c r="K31" s="4"/>
      <c r="X31" s="8"/>
      <c r="Y31" s="8"/>
      <c r="Z31" s="8"/>
      <c r="AA31" s="8"/>
      <c r="AB31" s="8"/>
      <c r="AE31" s="8"/>
      <c r="AF31" s="8"/>
      <c r="AG31" s="8"/>
      <c r="AH31" s="8"/>
      <c r="AI31" s="40"/>
      <c r="AJ31" s="40"/>
      <c r="AK31" s="40"/>
      <c r="AL31" s="2" t="s">
        <v>95</v>
      </c>
      <c r="AM31" s="2"/>
      <c r="AN31" s="2"/>
      <c r="AO31" s="40"/>
    </row>
    <row r="32" spans="1:41" x14ac:dyDescent="0.35">
      <c r="A32" s="8"/>
      <c r="B32" s="9"/>
      <c r="C32" s="8"/>
      <c r="F32" s="15" t="s">
        <v>35</v>
      </c>
      <c r="G32" s="16">
        <f>SUM(G26:G31)</f>
        <v>1</v>
      </c>
      <c r="H32" s="8"/>
      <c r="J32" s="4"/>
      <c r="K32" s="4"/>
      <c r="L32"/>
      <c r="M32" s="52" t="s">
        <v>126</v>
      </c>
      <c r="X32" s="8"/>
      <c r="AC32"/>
      <c r="AL32" s="2" t="s">
        <v>94</v>
      </c>
      <c r="AM32" s="2"/>
      <c r="AN32" s="2" t="s">
        <v>58</v>
      </c>
    </row>
    <row r="33" spans="1:42" ht="15.45" customHeight="1" x14ac:dyDescent="0.35">
      <c r="A33" s="5"/>
      <c r="B33" s="7"/>
      <c r="C33" s="5"/>
      <c r="E33" s="2" t="s">
        <v>111</v>
      </c>
      <c r="F33" s="2"/>
      <c r="G33" s="2"/>
      <c r="H33" s="41" t="s">
        <v>112</v>
      </c>
      <c r="J33" s="3"/>
      <c r="K33" s="50"/>
      <c r="L33" s="51" t="s">
        <v>127</v>
      </c>
      <c r="M33" s="52" t="s">
        <v>135</v>
      </c>
      <c r="O33" s="2"/>
      <c r="U33" s="2" t="s">
        <v>18</v>
      </c>
      <c r="V33" s="2"/>
      <c r="W33" s="2" t="s">
        <v>113</v>
      </c>
      <c r="X33" s="2" t="s">
        <v>92</v>
      </c>
      <c r="AE33" s="2" t="s">
        <v>114</v>
      </c>
      <c r="AF33" s="2" t="s">
        <v>93</v>
      </c>
      <c r="AL33" s="2" t="s">
        <v>57</v>
      </c>
      <c r="AM33" s="2"/>
      <c r="AN33" s="2"/>
    </row>
    <row r="34" spans="1:42" x14ac:dyDescent="0.35">
      <c r="A34" t="s">
        <v>23</v>
      </c>
      <c r="B34" t="s">
        <v>17</v>
      </c>
      <c r="C34" s="7" t="s">
        <v>22</v>
      </c>
      <c r="D34" s="4" t="s">
        <v>0</v>
      </c>
      <c r="E34" s="33" t="s">
        <v>1</v>
      </c>
      <c r="F34" s="13" t="s">
        <v>2</v>
      </c>
      <c r="G34" s="13" t="s">
        <v>3</v>
      </c>
      <c r="H34" s="42" t="s">
        <v>118</v>
      </c>
      <c r="I34"/>
      <c r="J34" s="40" t="s">
        <v>123</v>
      </c>
      <c r="K34" s="40" t="s">
        <v>119</v>
      </c>
      <c r="L34" s="40" t="s">
        <v>120</v>
      </c>
      <c r="M34" s="53" t="s">
        <v>6</v>
      </c>
      <c r="N34" s="40" t="s">
        <v>0</v>
      </c>
      <c r="O34" s="40" t="s">
        <v>7</v>
      </c>
      <c r="P34" s="40" t="s">
        <v>8</v>
      </c>
      <c r="Q34" s="40" t="s">
        <v>38</v>
      </c>
      <c r="R34" s="4" t="s">
        <v>11</v>
      </c>
      <c r="S34" s="40" t="s">
        <v>12</v>
      </c>
      <c r="T34" s="40" t="s">
        <v>13</v>
      </c>
      <c r="U34" s="40" t="s">
        <v>14</v>
      </c>
      <c r="V34" s="40" t="s">
        <v>15</v>
      </c>
      <c r="W34" s="40" t="s">
        <v>16</v>
      </c>
      <c r="X34" s="40" t="s">
        <v>10</v>
      </c>
      <c r="Y34" s="40" t="s">
        <v>24</v>
      </c>
      <c r="Z34" s="40" t="s">
        <v>25</v>
      </c>
      <c r="AA34" s="40" t="s">
        <v>26</v>
      </c>
      <c r="AB34" s="40" t="s">
        <v>36</v>
      </c>
      <c r="AC34" s="40" t="s">
        <v>27</v>
      </c>
      <c r="AD34" s="40" t="s">
        <v>37</v>
      </c>
      <c r="AE34" s="40" t="s">
        <v>9</v>
      </c>
      <c r="AF34" s="40" t="s">
        <v>51</v>
      </c>
      <c r="AG34" s="40" t="s">
        <v>52</v>
      </c>
      <c r="AH34" s="40" t="s">
        <v>53</v>
      </c>
      <c r="AI34" s="40" t="s">
        <v>54</v>
      </c>
      <c r="AJ34" s="40" t="s">
        <v>56</v>
      </c>
      <c r="AK34" s="40" t="s">
        <v>121</v>
      </c>
      <c r="AL34" s="32" t="s">
        <v>55</v>
      </c>
      <c r="AM34" s="32" t="s">
        <v>58</v>
      </c>
      <c r="AN34" s="32" t="s">
        <v>91</v>
      </c>
      <c r="AO34" s="32" t="s">
        <v>125</v>
      </c>
      <c r="AP34" s="40" t="s">
        <v>122</v>
      </c>
    </row>
    <row r="35" spans="1:42" s="6" customFormat="1" ht="14.6" x14ac:dyDescent="0.4">
      <c r="A35" s="45"/>
      <c r="B35" s="47"/>
      <c r="C35" s="35"/>
      <c r="D35" s="48"/>
      <c r="E35" s="34"/>
      <c r="F35" s="49"/>
      <c r="G35" s="36"/>
      <c r="H35" s="43"/>
      <c r="J35" s="26"/>
      <c r="K35" s="4"/>
      <c r="L35" s="4"/>
      <c r="M35" s="54"/>
      <c r="N35" s="37"/>
      <c r="O35" s="4"/>
      <c r="P35" s="4"/>
      <c r="Q35" s="4"/>
      <c r="R35" s="4"/>
      <c r="S35" s="4"/>
      <c r="T35" s="4"/>
      <c r="U35" s="4"/>
      <c r="V35" s="4"/>
      <c r="W35" s="4"/>
      <c r="X35" s="12"/>
      <c r="Y35" s="12"/>
      <c r="Z35" s="12"/>
      <c r="AA35" s="12"/>
      <c r="AB35" s="12"/>
      <c r="AC35" s="12"/>
      <c r="AD35" s="12"/>
      <c r="AE35" s="4"/>
      <c r="AF35" s="4"/>
      <c r="AG35" s="4"/>
      <c r="AH35" s="4"/>
      <c r="AI35" s="4"/>
      <c r="AJ35" s="4"/>
      <c r="AK35" s="4"/>
      <c r="AL35" s="26"/>
      <c r="AM35" s="26"/>
      <c r="AN35" s="26"/>
      <c r="AO35" s="26"/>
      <c r="AP35" s="37"/>
    </row>
  </sheetData>
  <mergeCells count="6">
    <mergeCell ref="A5:R5"/>
    <mergeCell ref="A17:R17"/>
    <mergeCell ref="A16:R16"/>
    <mergeCell ref="A1:R1"/>
    <mergeCell ref="A3:R3"/>
    <mergeCell ref="A4:R4"/>
  </mergeCells>
  <conditionalFormatting sqref="G32">
    <cfRule type="expression" dxfId="2" priority="2">
      <formula>AND($G$32&lt;&gt;0,$G$32&lt;&gt;1)</formula>
    </cfRule>
  </conditionalFormatting>
  <conditionalFormatting sqref="J35:AP35">
    <cfRule type="expression" dxfId="1" priority="1">
      <formula>MOD($J35,2)</formula>
    </cfRule>
  </conditionalFormatting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Code">
                <anchor moveWithCells="1">
                  <from>
                    <xdr:col>0</xdr:col>
                    <xdr:colOff>32657</xdr:colOff>
                    <xdr:row>24</xdr:row>
                    <xdr:rowOff>10886</xdr:rowOff>
                  </from>
                  <to>
                    <xdr:col>3</xdr:col>
                    <xdr:colOff>125186</xdr:colOff>
                    <xdr:row>25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eckAutocoding">
                <anchor moveWithCells="1">
                  <from>
                    <xdr:col>0</xdr:col>
                    <xdr:colOff>32657</xdr:colOff>
                    <xdr:row>23</xdr:row>
                    <xdr:rowOff>16329</xdr:rowOff>
                  </from>
                  <to>
                    <xdr:col>3</xdr:col>
                    <xdr:colOff>136071</xdr:colOff>
                    <xdr:row>23</xdr:row>
                    <xdr:rowOff>217714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fixWMD_EPSCoR">
                <anchor moveWithCells="1">
                  <from>
                    <xdr:col>10</xdr:col>
                    <xdr:colOff>304800</xdr:colOff>
                    <xdr:row>24</xdr:row>
                    <xdr:rowOff>0</xdr:rowOff>
                  </from>
                  <to>
                    <xdr:col>13</xdr:col>
                    <xdr:colOff>457200</xdr:colOff>
                    <xdr:row>25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deleteCodedRows">
                <anchor moveWithCells="1">
                  <from>
                    <xdr:col>0</xdr:col>
                    <xdr:colOff>32657</xdr:colOff>
                    <xdr:row>25</xdr:row>
                    <xdr:rowOff>81643</xdr:rowOff>
                  </from>
                  <to>
                    <xdr:col>3</xdr:col>
                    <xdr:colOff>125186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clearFilterSort">
                <anchor moveWithCells="1">
                  <from>
                    <xdr:col>10</xdr:col>
                    <xdr:colOff>310243</xdr:colOff>
                    <xdr:row>25</xdr:row>
                    <xdr:rowOff>92529</xdr:rowOff>
                  </from>
                  <to>
                    <xdr:col>12</xdr:col>
                    <xdr:colOff>451757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utoCtxStmt"/>
  <dimension ref="A1:C6"/>
  <sheetViews>
    <sheetView workbookViewId="0">
      <selection activeCell="B6" sqref="B6"/>
    </sheetView>
  </sheetViews>
  <sheetFormatPr defaultRowHeight="12.9" x14ac:dyDescent="0.35"/>
  <cols>
    <col min="3" max="3" width="10.1640625" customWidth="1"/>
  </cols>
  <sheetData>
    <row r="1" spans="1:3" ht="15" customHeight="1" x14ac:dyDescent="0.35">
      <c r="A1" s="56" t="s">
        <v>115</v>
      </c>
      <c r="B1" s="56"/>
      <c r="C1" s="56"/>
    </row>
    <row r="2" spans="1:3" ht="15" customHeight="1" x14ac:dyDescent="0.35">
      <c r="A2" s="56" t="s">
        <v>117</v>
      </c>
      <c r="B2" s="56"/>
      <c r="C2" s="56"/>
    </row>
    <row r="3" spans="1:3" ht="15" customHeight="1" x14ac:dyDescent="0.35">
      <c r="A3" s="57" t="s">
        <v>20</v>
      </c>
      <c r="B3" s="57"/>
      <c r="C3" s="57"/>
    </row>
    <row r="4" spans="1:3" ht="18" customHeight="1" x14ac:dyDescent="0.35">
      <c r="C4" s="44" t="s">
        <v>96</v>
      </c>
    </row>
    <row r="5" spans="1:3" x14ac:dyDescent="0.35">
      <c r="B5" s="39" t="s">
        <v>0</v>
      </c>
    </row>
    <row r="6" spans="1:3" x14ac:dyDescent="0.35">
      <c r="B6" s="4"/>
    </row>
  </sheetData>
  <mergeCells count="3">
    <mergeCell ref="A1:C1"/>
    <mergeCell ref="A2:C2"/>
    <mergeCell ref="A3:C3"/>
  </mergeCells>
  <hyperlinks>
    <hyperlink ref="A3" r:id="rId1" display="Go to eJacket Group Documents to search the context statement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ssociateCtxt">
                <anchor>
                  <from>
                    <xdr:col>0</xdr:col>
                    <xdr:colOff>163286</xdr:colOff>
                    <xdr:row>3</xdr:row>
                    <xdr:rowOff>21771</xdr:rowOff>
                  </from>
                  <to>
                    <xdr:col>1</xdr:col>
                    <xdr:colOff>593271</xdr:colOff>
                    <xdr:row>3</xdr:row>
                    <xdr:rowOff>217714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eckBoxer"/>
  <dimension ref="A1:K22"/>
  <sheetViews>
    <sheetView workbookViewId="0">
      <selection activeCell="F55" sqref="F55"/>
    </sheetView>
  </sheetViews>
  <sheetFormatPr defaultRowHeight="12.9" x14ac:dyDescent="0.35"/>
  <cols>
    <col min="1" max="1" width="3.25" customWidth="1"/>
    <col min="7" max="7" width="4.58203125" customWidth="1"/>
  </cols>
  <sheetData>
    <row r="1" spans="1:11" s="38" customFormat="1" ht="15" customHeight="1" x14ac:dyDescent="0.35">
      <c r="A1" t="s">
        <v>98</v>
      </c>
    </row>
    <row r="2" spans="1:11" s="38" customFormat="1" ht="15" customHeight="1" x14ac:dyDescent="0.35">
      <c r="A2" s="38" t="s">
        <v>107</v>
      </c>
    </row>
    <row r="3" spans="1:11" ht="15" customHeight="1" x14ac:dyDescent="0.35">
      <c r="A3" t="s">
        <v>108</v>
      </c>
    </row>
    <row r="4" spans="1:11" s="38" customFormat="1" ht="15" customHeight="1" x14ac:dyDescent="0.35">
      <c r="A4" s="38" t="s">
        <v>99</v>
      </c>
    </row>
    <row r="5" spans="1:11" s="38" customFormat="1" ht="15" customHeight="1" x14ac:dyDescent="0.35">
      <c r="A5" s="38" t="s">
        <v>100</v>
      </c>
    </row>
    <row r="6" spans="1:11" s="38" customFormat="1" ht="15" customHeight="1" x14ac:dyDescent="0.35">
      <c r="A6" s="38" t="s">
        <v>110</v>
      </c>
    </row>
    <row r="7" spans="1:11" s="38" customFormat="1" ht="15" customHeight="1" x14ac:dyDescent="0.35">
      <c r="B7" s="38" t="s">
        <v>101</v>
      </c>
    </row>
    <row r="8" spans="1:11" s="38" customFormat="1" ht="15" customHeight="1" x14ac:dyDescent="0.35">
      <c r="B8" s="38" t="s">
        <v>102</v>
      </c>
    </row>
    <row r="9" spans="1:11" s="38" customFormat="1" ht="15" customHeight="1" x14ac:dyDescent="0.35">
      <c r="A9" s="38" t="s">
        <v>103</v>
      </c>
    </row>
    <row r="10" spans="1:11" s="38" customFormat="1" x14ac:dyDescent="0.35"/>
    <row r="11" spans="1:11" s="38" customFormat="1" x14ac:dyDescent="0.35"/>
    <row r="12" spans="1:11" s="38" customFormat="1" x14ac:dyDescent="0.35">
      <c r="A12" s="38" t="s">
        <v>105</v>
      </c>
      <c r="G12" s="38" t="s">
        <v>106</v>
      </c>
    </row>
    <row r="13" spans="1:11" x14ac:dyDescent="0.35">
      <c r="A13" t="s">
        <v>97</v>
      </c>
      <c r="G13" s="38" t="s">
        <v>104</v>
      </c>
      <c r="H13" s="38"/>
      <c r="I13" s="38"/>
      <c r="J13" s="38"/>
      <c r="K13" s="38"/>
    </row>
    <row r="14" spans="1:11" s="10" customFormat="1" x14ac:dyDescent="0.35">
      <c r="G14" s="38"/>
      <c r="H14" s="38"/>
      <c r="I14" s="38"/>
      <c r="J14" s="38"/>
      <c r="K14" s="38"/>
    </row>
    <row r="15" spans="1:11" s="10" customFormat="1" x14ac:dyDescent="0.35">
      <c r="G15" s="38"/>
      <c r="H15" s="38"/>
      <c r="I15" s="38"/>
      <c r="J15" s="38"/>
      <c r="K15" s="38"/>
    </row>
    <row r="16" spans="1:11" s="10" customFormat="1" x14ac:dyDescent="0.35">
      <c r="G16" s="38"/>
      <c r="H16" s="38"/>
      <c r="I16" s="38"/>
      <c r="J16" s="38"/>
      <c r="K16" s="38"/>
    </row>
    <row r="17" spans="2:11" x14ac:dyDescent="0.35">
      <c r="B17" t="s">
        <v>0</v>
      </c>
      <c r="G17" s="38"/>
      <c r="H17" s="38" t="s">
        <v>0</v>
      </c>
      <c r="I17" s="38"/>
      <c r="J17" s="38"/>
      <c r="K17" s="38"/>
    </row>
    <row r="18" spans="2:11" x14ac:dyDescent="0.35">
      <c r="B18" s="4"/>
      <c r="G18" s="38"/>
      <c r="H18" s="4"/>
      <c r="I18" s="38"/>
      <c r="J18" s="38"/>
      <c r="K18" s="38"/>
    </row>
    <row r="19" spans="2:11" x14ac:dyDescent="0.35">
      <c r="G19" s="38"/>
      <c r="I19" s="38"/>
      <c r="J19" s="38"/>
      <c r="K19" s="38"/>
    </row>
    <row r="20" spans="2:11" x14ac:dyDescent="0.35">
      <c r="G20" s="38"/>
      <c r="I20" s="38"/>
      <c r="J20" s="38"/>
      <c r="K20" s="38"/>
    </row>
    <row r="21" spans="2:11" x14ac:dyDescent="0.35">
      <c r="G21" s="38"/>
      <c r="I21" s="38"/>
      <c r="J21" s="38"/>
      <c r="K21" s="38"/>
    </row>
    <row r="22" spans="2:11" x14ac:dyDescent="0.35">
      <c r="G22" s="38"/>
      <c r="I22" s="38"/>
      <c r="J22" s="38"/>
      <c r="K22" s="38"/>
    </row>
  </sheetData>
  <conditionalFormatting sqref="B18">
    <cfRule type="expression" dxfId="0" priority="1">
      <formula>MOD($J18,2)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J_CheckBoxer">
                <anchor moveWithCells="1">
                  <from>
                    <xdr:col>0</xdr:col>
                    <xdr:colOff>27214</xdr:colOff>
                    <xdr:row>13</xdr:row>
                    <xdr:rowOff>10886</xdr:rowOff>
                  </from>
                  <to>
                    <xdr:col>2</xdr:col>
                    <xdr:colOff>332014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eJ_CkBoxer2">
                <anchor moveWithCells="1">
                  <from>
                    <xdr:col>6</xdr:col>
                    <xdr:colOff>27214</xdr:colOff>
                    <xdr:row>13</xdr:row>
                    <xdr:rowOff>10886</xdr:rowOff>
                  </from>
                  <to>
                    <xdr:col>8</xdr:col>
                    <xdr:colOff>250371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SCoR"/>
  <dimension ref="A1:B30"/>
  <sheetViews>
    <sheetView workbookViewId="0">
      <selection activeCell="D15" sqref="D15"/>
    </sheetView>
  </sheetViews>
  <sheetFormatPr defaultRowHeight="12.9" x14ac:dyDescent="0.35"/>
  <sheetData>
    <row r="1" spans="1:2" ht="14.6" x14ac:dyDescent="0.4">
      <c r="A1" s="27" t="s">
        <v>59</v>
      </c>
      <c r="B1" s="8"/>
    </row>
    <row r="2" spans="1:2" x14ac:dyDescent="0.35">
      <c r="A2" s="28" t="s">
        <v>60</v>
      </c>
      <c r="B2" s="8"/>
    </row>
    <row r="3" spans="1:2" x14ac:dyDescent="0.35">
      <c r="A3" s="28" t="s">
        <v>61</v>
      </c>
      <c r="B3" s="8"/>
    </row>
    <row r="4" spans="1:2" x14ac:dyDescent="0.35">
      <c r="A4" s="28" t="s">
        <v>62</v>
      </c>
      <c r="B4" s="8"/>
    </row>
    <row r="5" spans="1:2" x14ac:dyDescent="0.35">
      <c r="A5" s="28" t="s">
        <v>63</v>
      </c>
      <c r="B5" s="8"/>
    </row>
    <row r="6" spans="1:2" x14ac:dyDescent="0.35">
      <c r="A6" s="28" t="s">
        <v>64</v>
      </c>
      <c r="B6" s="8"/>
    </row>
    <row r="7" spans="1:2" x14ac:dyDescent="0.35">
      <c r="A7" s="28" t="s">
        <v>65</v>
      </c>
      <c r="B7" s="8"/>
    </row>
    <row r="8" spans="1:2" x14ac:dyDescent="0.35">
      <c r="A8" s="28" t="s">
        <v>66</v>
      </c>
      <c r="B8" s="8"/>
    </row>
    <row r="9" spans="1:2" x14ac:dyDescent="0.35">
      <c r="A9" s="28" t="s">
        <v>67</v>
      </c>
      <c r="B9" s="8"/>
    </row>
    <row r="10" spans="1:2" x14ac:dyDescent="0.35">
      <c r="A10" s="28" t="s">
        <v>68</v>
      </c>
      <c r="B10" s="29" t="s">
        <v>69</v>
      </c>
    </row>
    <row r="11" spans="1:2" x14ac:dyDescent="0.35">
      <c r="A11" s="28" t="s">
        <v>70</v>
      </c>
      <c r="B11" s="30" t="s">
        <v>71</v>
      </c>
    </row>
    <row r="12" spans="1:2" x14ac:dyDescent="0.35">
      <c r="A12" s="28" t="s">
        <v>72</v>
      </c>
      <c r="B12" s="30" t="s">
        <v>73</v>
      </c>
    </row>
    <row r="13" spans="1:2" x14ac:dyDescent="0.35">
      <c r="A13" s="28" t="s">
        <v>74</v>
      </c>
      <c r="B13" s="8"/>
    </row>
    <row r="14" spans="1:2" x14ac:dyDescent="0.35">
      <c r="A14" s="28" t="s">
        <v>75</v>
      </c>
      <c r="B14" s="8"/>
    </row>
    <row r="15" spans="1:2" x14ac:dyDescent="0.35">
      <c r="A15" s="28" t="s">
        <v>76</v>
      </c>
      <c r="B15" s="8"/>
    </row>
    <row r="16" spans="1:2" x14ac:dyDescent="0.35">
      <c r="A16" s="28" t="s">
        <v>77</v>
      </c>
      <c r="B16" s="8"/>
    </row>
    <row r="17" spans="1:2" x14ac:dyDescent="0.35">
      <c r="A17" s="28" t="s">
        <v>78</v>
      </c>
      <c r="B17" s="8"/>
    </row>
    <row r="18" spans="1:2" x14ac:dyDescent="0.35">
      <c r="A18" s="28" t="s">
        <v>79</v>
      </c>
      <c r="B18" s="8"/>
    </row>
    <row r="19" spans="1:2" x14ac:dyDescent="0.35">
      <c r="A19" s="28" t="s">
        <v>80</v>
      </c>
      <c r="B19" s="8"/>
    </row>
    <row r="20" spans="1:2" x14ac:dyDescent="0.35">
      <c r="A20" s="28" t="s">
        <v>81</v>
      </c>
      <c r="B20" s="8"/>
    </row>
    <row r="21" spans="1:2" x14ac:dyDescent="0.35">
      <c r="A21" s="28" t="s">
        <v>82</v>
      </c>
      <c r="B21" s="8"/>
    </row>
    <row r="22" spans="1:2" x14ac:dyDescent="0.35">
      <c r="A22" s="28" t="s">
        <v>83</v>
      </c>
      <c r="B22" s="8"/>
    </row>
    <row r="23" spans="1:2" x14ac:dyDescent="0.35">
      <c r="A23" s="28" t="s">
        <v>84</v>
      </c>
      <c r="B23" s="8"/>
    </row>
    <row r="24" spans="1:2" x14ac:dyDescent="0.35">
      <c r="A24" s="28" t="s">
        <v>85</v>
      </c>
      <c r="B24" s="8"/>
    </row>
    <row r="25" spans="1:2" x14ac:dyDescent="0.35">
      <c r="A25" s="28" t="s">
        <v>86</v>
      </c>
      <c r="B25" s="8"/>
    </row>
    <row r="26" spans="1:2" x14ac:dyDescent="0.35">
      <c r="A26" s="28" t="s">
        <v>87</v>
      </c>
      <c r="B26" s="8"/>
    </row>
    <row r="27" spans="1:2" x14ac:dyDescent="0.35">
      <c r="A27" s="28" t="s">
        <v>88</v>
      </c>
      <c r="B27" s="8"/>
    </row>
    <row r="28" spans="1:2" x14ac:dyDescent="0.35">
      <c r="A28" s="28" t="s">
        <v>89</v>
      </c>
      <c r="B28" s="8"/>
    </row>
    <row r="29" spans="1:2" x14ac:dyDescent="0.35">
      <c r="A29" s="28" t="s">
        <v>90</v>
      </c>
      <c r="B29" s="8"/>
    </row>
    <row r="30" spans="1:2" x14ac:dyDescent="0.35">
      <c r="A30" s="31">
        <f>SUBTOTAL(103,EpscorTable[Epscor])</f>
        <v>27</v>
      </c>
      <c r="B30" s="8"/>
    </row>
  </sheetData>
  <hyperlinks>
    <hyperlink ref="B10" r:id="rId1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2"/>
  <sheetViews>
    <sheetView topLeftCell="C1" workbookViewId="0">
      <selection activeCell="C12" sqref="C12"/>
    </sheetView>
  </sheetViews>
  <sheetFormatPr defaultColWidth="8.75" defaultRowHeight="14.6" x14ac:dyDescent="0.4"/>
  <cols>
    <col min="1" max="1" width="18.1640625" style="17" customWidth="1"/>
    <col min="2" max="2" width="22.1640625" style="17" customWidth="1"/>
    <col min="3" max="3" width="105.25" style="17" customWidth="1"/>
    <col min="4" max="16384" width="8.75" style="17"/>
  </cols>
  <sheetData>
    <row r="1" spans="1:3" x14ac:dyDescent="0.4">
      <c r="A1" s="17" t="s">
        <v>39</v>
      </c>
    </row>
    <row r="2" spans="1:3" x14ac:dyDescent="0.4">
      <c r="A2" s="18" t="s">
        <v>40</v>
      </c>
      <c r="B2" s="17" t="s">
        <v>41</v>
      </c>
    </row>
    <row r="3" spans="1:3" x14ac:dyDescent="0.4">
      <c r="A3" s="18" t="s">
        <v>42</v>
      </c>
      <c r="B3" s="19" t="s">
        <v>109</v>
      </c>
    </row>
    <row r="4" spans="1:3" x14ac:dyDescent="0.4">
      <c r="A4" s="18" t="s">
        <v>43</v>
      </c>
      <c r="B4" s="17" t="s">
        <v>44</v>
      </c>
    </row>
    <row r="5" spans="1:3" x14ac:dyDescent="0.4">
      <c r="A5" s="18" t="s">
        <v>45</v>
      </c>
      <c r="B5" s="17" t="s">
        <v>46</v>
      </c>
    </row>
    <row r="11" spans="1:3" x14ac:dyDescent="0.4">
      <c r="A11" s="20" t="s">
        <v>47</v>
      </c>
      <c r="B11" s="21" t="s">
        <v>48</v>
      </c>
      <c r="C11" s="22" t="s">
        <v>49</v>
      </c>
    </row>
    <row r="12" spans="1:3" ht="409.6" x14ac:dyDescent="0.4">
      <c r="A12" s="23" t="s">
        <v>50</v>
      </c>
      <c r="B12" s="24">
        <v>43126.713310185187</v>
      </c>
      <c r="C12" s="46" t="s">
        <v>124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B960B3B5DBD644A94B60F4DCA143E5" ma:contentTypeVersion="0" ma:contentTypeDescription="Create a new document." ma:contentTypeScope="" ma:versionID="51262affb99069b8b6b28fc13a2de23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E53343-D838-4F11-92B7-4677CE2E70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7511CC-2F7B-47F1-8965-5B1195784F2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6A6305C-CA2D-43F7-B5E7-A6A78F8FA3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AutoCoder</vt:lpstr>
      <vt:lpstr>AutoCtxStmt</vt:lpstr>
      <vt:lpstr>CheckBoxer</vt:lpstr>
      <vt:lpstr>Settings</vt:lpstr>
      <vt:lpstr>HiddenSettings</vt:lpstr>
      <vt:lpstr>apply2Collabs</vt:lpstr>
      <vt:lpstr>appRsch</vt:lpstr>
      <vt:lpstr>basicRsch</vt:lpstr>
      <vt:lpstr>HiddenSettings!checkCoding</vt:lpstr>
      <vt:lpstr>context_id</vt:lpstr>
      <vt:lpstr>delayTime</vt:lpstr>
      <vt:lpstr>edTrng</vt:lpstr>
      <vt:lpstr>landBldg</vt:lpstr>
      <vt:lpstr>HiddenSettings!Mac_connect_string</vt:lpstr>
      <vt:lpstr>mjEqmt</vt:lpstr>
      <vt:lpstr>nonInv</vt:lpstr>
      <vt:lpstr>HiddenSettings!PC_connect_string</vt:lpstr>
      <vt:lpstr>rdTotal</vt:lpstr>
      <vt:lpstr>HiddenSettings!rpt_pwd</vt:lpstr>
      <vt:lpstr>HiddenSettings!user_id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coder</dc:title>
  <dc:creator>Jack Snoeyink</dc:creator>
  <cp:lastModifiedBy>Jack Snoeyink</cp:lastModifiedBy>
  <dcterms:created xsi:type="dcterms:W3CDTF">2016-08-18T17:06:39Z</dcterms:created>
  <dcterms:modified xsi:type="dcterms:W3CDTF">2018-02-26T15:26:14Z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0x0101004FB960B3B5DBD644A94B60F4DCA143E5</vt:lpwstr>
  </property>
  <property fmtid="{D5CDD505-2E9C-101B-9397-08002B2CF9AE}" pid="3" name="SV_QUERY_LIST_4F35BF76-6C0D-4D9B-82B2-816C12CF3733">
    <vt:lpwstr>empty_477D106A-C0D6-4607-AEBD-E2C9D60EA279</vt:lpwstr>
  </property>
</Properties>
</file>