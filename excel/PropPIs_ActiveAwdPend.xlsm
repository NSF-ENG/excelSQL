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snoeyin/excelSQL/excel/"/>
    </mc:Choice>
  </mc:AlternateContent>
  <bookViews>
    <workbookView xWindow="0" yWindow="460" windowWidth="28800" windowHeight="16100"/>
  </bookViews>
  <sheets>
    <sheet name="Dashboard" sheetId="1" r:id="rId1"/>
    <sheet name="Awards" sheetId="2" r:id="rId2"/>
    <sheet name="Pending" sheetId="4" r:id="rId3"/>
    <sheet name="HiddenSettings" sheetId="5" state="hidden" r:id="rId4"/>
  </sheets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proppiAwd" localSheetId="3">HiddenSettings!$C$9</definedName>
    <definedName name="proppiPend" localSheetId="3">HiddenSettings!$C$10</definedName>
    <definedName name="proppiProps" localSheetId="3">HiddenSettings!$C$8</definedName>
    <definedName name="Query_from_RPTSERVER" localSheetId="1" hidden="1">Awards!$A$2:$AE$3</definedName>
    <definedName name="Query_from_RPTSERVER" localSheetId="2" hidden="1">Pending!$A$2:$AF$3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50001" concurrentCalc="0"/>
  <pivotCaches>
    <pivotCache cacheId="8" r:id="rId5"/>
    <pivotCache cacheId="13" r:id="rId6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J3" i="2"/>
  <c r="O3" i="2"/>
  <c r="P3" i="2"/>
  <c r="Q3" i="2"/>
  <c r="R3" i="2"/>
  <c r="S3" i="2"/>
  <c r="X3" i="2"/>
</calcChain>
</file>

<file path=xl/connections.xml><?xml version="1.0" encoding="utf-8"?>
<connections xmlns="http://schemas.openxmlformats.org/spreadsheetml/2006/main">
  <connection id="1" name="AwardQuery" type="1" refreshedVersion="6" background="1" saveData="1">
    <dbPr connection="DSN=rptServer;DRIVER=/Library/ODBC/OpenLink SQL Server Lite ODBC Driver (Unicode) v7.0.bundle/Contents/MacOS/sql_mt_lu.so;UID=ccfuser;DATABASE=rptdb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" command="SET NOCOUNT ON _x000a_SELECT isnull(lead_prop_id,prop.prop_id) AS 'lead', prop.prop_id, prop.pi_id _x000d__x000d_INTO #myProps_x000d__x000d_FROM csd.prop prop_x000d__x000d_WHERE prop.prop_id = ''_x000a_OR prop.lead_prop_id = ''_x000a_SELECT PIs.lead, PIs.prop_id, PIs.pi_id, awd.awd_id, awd_pi_copi.proj_role_code_x000d__x000d_INTO #myAwds _x000d__x000d_FROM (SELECT * FROM #myProps_x000d__x000d_ UNION SELECT prop.lead, prop.prop_id, addl_pi_invl.pi_id_x000d__x000d_ FROM csd.addl_pi_invl addl_pi_invl, #myProps prop_x000d__x000d_WHERE prop.prop_id = addl_pi_invl.prop_id) PIs, _x000d__x000d_csd.awd awd, csd.awd_pi_copi awd_pi_copi _x000d__x000d_WHERE awd_pi_copi.awd_id = awd.awd_id  AND (awd.awd_stts_code='80') AND (PIs.pi_id = awd_pi_copi.pi_id) AND awd_pi_copi.end_date IS NULL _x000d__x000d_SELECT DISTINCT #myAwds.awd_id INTO #myDistAwds FROM #myAwds_x000d__x000d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d__x000d_FROM #myAwds a, _x000d__x000d_ (SELECT awd1.awd_id, Count(DISTINCT awd_pi_copi1.pi_id) AS 'totPIs'_x000d__x000d_  FROM #myDistAwds awd1, csd.awd_pi_copi awd_pi_copi1 _x000d__x000d_  WHERE awd1.awd_id = awd_pi_copi1.awd_id AND (awd_pi_copi1.end_date Is Null) _x000d__x000d_  GROUP BY awd1.awd_id) tPI, _x000d__x000d_ (SELECT awd2.awd_id, Sum(oblg_bal.oblg_amt) AS 'totOblg_amt', Sum(oblg_bal.cuml_xpnd_amt) AS 'totCuml_xpnd_amt', Max(oblg_bal.last_pymt_date) AS 'last_pymt_date' _x000d__x000d_  FROM #myDistAwds awd2, csd.oblg_bal oblg_bal _x000d__x000d_  WHERE awd2.awd_id = oblg_bal.oblg_id  _x000d__x000d_  GROUP BY awd2.awd_id) ob, _x000d__x000d_csd.awd awd, csd.inst inst, csd.pi_vw pi_vw, csd.inst instaw _x000d__x000d_WHERE a.awd_id=awd.awd_id AND a.awd_id=ob.awd_id AND a.awd_id=tPI.awd_id AND a.pi_id = pi_vw.pi_id AND awd.inst_id = instaw.inst_id  AND pi_vw.inst_id = inst.inst_id _x000d__x000d_ORDER BY a.lead, a.prop_id, pi_vw.pi_last_name, pi_vw.pi_frst_name, a.pi_id, awd.awd_exp_date _x000d__x000d_DROP TABLE #myAwds,#myDistAwds _x000d__x000d_--DROP TABLE #myProps_x000d__x000d_"/>
  </connection>
  <connection id="2" name="PendingQuery" type="1" refreshedVersion="6" background="1" saveData="1">
    <dbPr connection="DSN=rptServer;DRIVER=/Library/ODBC/OpenLink SQL Server Lite ODBC Driver (Unicode) v7.0.bundle/Contents/MacOS/sql_mt_lu.so;UID=ccfuser;DATABASE=rptdb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" command="SET NOCOUNT ON _x000a_SELECT isnull(lead_prop_id,prop.prop_id) AS 'lead', prop.prop_id, prop.pi_id _x000d__x000d_INTO #myProps_x000d__x000d_FROM csd.prop prop_x000d__x000d_WHERE prop.prop_id = ''_x000a_OR prop.lead_prop_id = ''_x000a_SELECT * INTO #myPIs FROM #myProps_x000d__x000d_ UNION SELECT prop.lead, prop.prop_id, addl_pi_invl.pi_id _x000d__x000d_ FROM csd.addl_pi_invl addl_pi_invl, #myProps prop_x000d__x000d_ WHERE prop.prop_id = addl_pi_invl.prop_id_x000d__x000d_SELECT PIs.lead, PIs.prop_id, PIs.pi_id, '1' as 'proj_role_code', prop.prop_id AS pend_id_x000d__x000d_INTO #myPend FROM #myPIs PIs, csd.prop prop_x000d__x000d_WHERE (prop.pi_id = PIs.pi_id) AND prop.prop_stts_code IN ('00','01','02','03','06','40') AND prop.prop_id &lt;&gt; PIs.prop_id_x000d__x000d_UNION SELECT PIs.lead, PIs.prop_id, PIs.pi_id, addl_pi_invl.proj_role_code, addl_pi_invl.prop_id AS pend_id_x000d__x000d_FROM #myPIs PIs, csd.prop prop, csd.addl_pi_invl addl_pi_invl_x000d__x000d_WHERE addl_pi_invl.pi_id = PIs.pi_id AND addl_pi_invl.prop_id = prop.prop_id AND prop.prop_stts_code IN ('00','01','02','03','06','40') AND addl_pi_invl.prop_id &lt;&gt; PIs.prop_id_x000d__x000d_SELECT a.lead, a.prop_id, pi_vw.pi_last_name, pi_vw.pi_frst_name, pi_vw.pi_emai_addr, inst.inst_name, a.pi_id, a.proj_role_code,_x000d__x000d_a.pend_id, prop_stts.prop_stts_txt, pps.panl_id, pr.rcom_seq_num, pr.rcom_abbr,_x000d__x000d_prop.rqst_dol, prop.rqst_mnth_cnt, nullif(prop.rcom_mnth_cnt,0) AS 'rcom_mnth_cnt', nullif(prop.rcom_awd_istr,'0') AS 'rcom_awd_istr',_x000d__x000d_prop.rqst_eff_date, nullif(prop.rcom_eff_date,'1900-01-01') AS 'rcom_eff_date', nullif(prop.pm_asgn_date,'1900-01-01') AS pm_asgn_date,_x000d__x000d_nullif(prop.pm_rcom_date,'1900-01-01') AS  pm_rcom_date,_x000d__x000d_prop.nsf_rcvd_date, prop.org_code, prop.pgm_ele_code, prop.pm_ibm_logn_id, prop.prop_stts_code, prop_stts.prop_stts_abbr,_x000d__x000d_(SELECT 1+COUNT(*) FROM csd.addl_pi_invl api  WHERE a.pend_id = api.prop_id) AS numPI, prop.prop_titl_txt_x000d__x000d_FROM #myPend a, csd.prop prop, csd.pi_vw pi_vw, csd.inst inst, csd.prop_stts prop_stts, flflpdb.flp.panl_prop_summ pps, flflpdb.flp.panl_rcom_def pr_x000d__x000d_WHERE a.pi_id = pi_vw.pi_id AND a.pend_id = prop.prop_id AND pi_vw.prim_addr_flag = 'Y' AND prop.inst_id = inst.inst_id AND prop.prop_stts_code = prop_stts.prop_stts_code_x000d__x000d_ AND a.pend_id *= pps.prop_id AND pps.panl_id *= pr.panl_id AND pps.rcom_seq_num *= pr.rcom_seq_num_x000d__x000d_ORDER BY a.lead, a.prop_id, pi_vw.pi_last_name, pi_vw.pi_frst_name, a.pi_id, prop.rqst_dol DESC_x000d__x000d_DROP TABLE #myPend, #myProps,#myPIs_x000d__x000d_"/>
  </connection>
</connections>
</file>

<file path=xl/sharedStrings.xml><?xml version="1.0" encoding="utf-8"?>
<sst xmlns="http://schemas.openxmlformats.org/spreadsheetml/2006/main" count="140" uniqueCount="117">
  <si>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</si>
  <si>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</si>
  <si>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</si>
  <si>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</si>
  <si>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</si>
  <si>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</si>
  <si>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</si>
  <si>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</si>
  <si>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</si>
  <si>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</si>
  <si>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</si>
  <si>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</si>
  <si>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</si>
  <si>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</si>
  <si>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</si>
  <si>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</si>
  <si>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</si>
  <si>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</si>
  <si>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</si>
  <si>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</si>
  <si>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</si>
  <si>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</si>
  <si>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</si>
  <si>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</si>
  <si>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</si>
  <si>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</si>
  <si>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</si>
  <si>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</si>
  <si>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</si>
  <si>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</si>
  <si>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</si>
  <si>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</si>
  <si>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</si>
  <si>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</si>
  <si>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</si>
  <si>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</si>
  <si>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</si>
  <si>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</si>
  <si>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</si>
  <si>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</si>
  <si>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</si>
  <si>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</si>
  <si>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</si>
  <si>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</si>
  <si>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</si>
  <si>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</si>
  <si>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</si>
  <si>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</si>
  <si>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</si>
  <si>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</si>
  <si>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</si>
  <si>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</si>
  <si>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</si>
  <si>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</si>
  <si>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</si>
  <si>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</si>
  <si>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</si>
  <si>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</si>
  <si>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</si>
  <si>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</si>
  <si>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</si>
  <si>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</si>
  <si>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</si>
  <si>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</si>
  <si>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</si>
  <si>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</si>
  <si>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</si>
  <si>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</si>
  <si>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</si>
  <si>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</si>
  <si>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</si>
  <si>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</si>
  <si>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</si>
  <si>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</si>
  <si>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</si>
  <si>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</si>
  <si>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</si>
  <si>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</si>
  <si>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</si>
  <si>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</si>
  <si>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optional</t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</si>
  <si>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</si>
  <si>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</si>
  <si>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</si>
  <si>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</si>
  <si>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06030000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</si>
  <si>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</si>
  <si>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</si>
  <si>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</si>
  <si>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</si>
  <si>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</si>
  <si>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</si>
  <si>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name</t>
  </si>
  <si>
    <t>updated</t>
  </si>
  <si>
    <t>sql</t>
  </si>
  <si>
    <t>proppiProps</t>
  </si>
  <si>
    <t xml:space="preserve">SELECT isnull(lead_prop_id,prop.prop_id) AS 'lead', prop.prop_id, prop.pi_id 
INTO #myProps
FROM csd.prop prop
</t>
  </si>
  <si>
    <t>proppiAwd</t>
  </si>
  <si>
    <t xml:space="preserve">SELECT PIs.lead, PIs.prop_id, PIs.pi_id, awd.awd_id, awd_pi_copi.proj_role_code
INTO #myAwds 
FROM (SELECT * FROM #myProps
 UNION SELECT prop.lead, prop.prop_id, addl_pi_invl.pi_id
 FROM csd.addl_pi_invl addl_pi_invl, #myProps prop
WHERE prop.prop_id = addl_pi_invl.prop_id) PIs, 
csd.awd awd, csd.awd_pi_copi awd_pi_copi 
WHERE awd_pi_copi.awd_id = awd.awd_id  AND (awd.awd_stts_code='80') AND (PIs.pi_id = awd_pi_copi.pi_id) AND awd_pi_copi.end_date IS NULL 
SELECT DISTINCT #myAwds.awd_id INTO #myDistAwds FROM #myAwds
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
FROM #myAwds a, 
 (SELECT awd1.awd_id, Count(DISTINCT awd_pi_copi1.pi_id) AS 'totPIs'
  FROM #myDistAwds awd1, csd.awd_pi_copi awd_pi_copi1 
  WHERE awd1.awd_id = awd_pi_copi1.awd_id AND (awd_pi_copi1.end_date Is Null) 
  GROUP BY awd1.awd_id) tPI, 
 (SELECT awd2.awd_id, Sum(oblg_bal.oblg_amt) AS 'totOblg_amt', Sum(oblg_bal.cuml_xpnd_amt) AS 'totCuml_xpnd_amt', Max(oblg_bal.last_pymt_date) AS 'last_pymt_date' 
  FROM #myDistAwds awd2, csd.oblg_bal oblg_bal 
  WHERE awd2.awd_id = oblg_bal.oblg_id  
  GROUP BY awd2.awd_id) ob, 
csd.awd awd, csd.inst inst, csd.pi_vw pi_vw, csd.inst instaw 
WHERE a.awd_id=awd.awd_id AND a.awd_id=ob.awd_id AND a.awd_id=tPI.awd_id AND a.pi_id = pi_vw.pi_id AND awd.inst_id = instaw.inst_id  AND pi_vw.inst_id = inst.inst_id 
ORDER BY a.lead, a.prop_id, pi_vw.pi_last_name, pi_vw.pi_frst_name, a.pi_id, awd.awd_exp_date 
DROP TABLE #myAwds,#myDistAwds 
--DROP TABLE #myProps
</t>
  </si>
  <si>
    <t>proppiPend</t>
  </si>
  <si>
    <t xml:space="preserve">SELECT * INTO #myPIs FROM #myProps
 UNION SELECT prop.lead, prop.prop_id, addl_pi_invl.pi_id 
 FROM csd.addl_pi_invl addl_pi_invl, #myProps prop
 WHERE prop.prop_id = addl_pi_invl.prop_id
SELECT PIs.lead, PIs.prop_id, PIs.pi_id, '1' as 'proj_role_code', prop.prop_id AS pend_id
INTO #myPend FROM #myPIs PIs, csd.prop prop
WHERE (prop.pi_id = PIs.pi_id) AND prop.prop_stts_code IN ('00','01','02','03','06','40') AND prop.prop_id &lt;&gt; PIs.prop_id
UNION SELECT PIs.lead, PIs.prop_id, PIs.pi_id, addl_pi_invl.proj_role_code, addl_pi_invl.prop_id AS pend_id
FROM #myPIs PIs, csd.prop prop, csd.addl_pi_invl addl_pi_invl
WHERE addl_pi_invl.pi_id = PIs.pi_id AND addl_pi_invl.prop_id = prop.prop_id AND prop.prop_stts_code IN ('00','01','02','03','06','40') AND addl_pi_invl.prop_id &lt;&gt; PIs.prop_id
SELECT a.lead, a.prop_id, pi_vw.pi_last_name, pi_vw.pi_frst_name, pi_vw.pi_emai_addr, inst.inst_name, a.pi_id, a.proj_role_code,
a.pend_id, prop_stts.prop_stts_txt, pps.panl_id, pr.rcom_seq_num, pr.rcom_abbr,
prop.rqst_dol, prop.rqst_mnth_cnt, nullif(prop.rcom_mnth_cnt,0) AS 'rcom_mnth_cnt', nullif(prop.rcom_awd_istr,'0') AS 'rcom_awd_istr',
prop.rqst_eff_date, nullif(prop.rcom_eff_date,'1900-01-01') AS 'rcom_eff_date', nullif(prop.pm_asgn_date,'1900-01-01') AS pm_asgn_date,
nullif(prop.pm_rcom_date,'1900-01-01') AS  pm_rcom_date,
prop.nsf_rcvd_date, prop.org_code, prop.pgm_ele_code, prop.pm_ibm_logn_id, prop.prop_stts_code, prop_stts.prop_stts_abbr,
(SELECT 1+COUNT(*) FROM csd.addl_pi_invl api  WHERE a.pend_id = api.prop_id) AS numPI, prop.prop_titl_txt
FROM #myPend a, csd.prop prop, csd.pi_vw pi_vw, csd.inst inst, csd.prop_stts prop_stts, flflpdb.flp.panl_prop_summ pps, flflpdb.flp.panl_rcom_def pr
WHERE a.pi_id = pi_vw.pi_id AND a.pend_id = prop.prop_id AND pi_vw.prim_addr_flag = 'Y' AND prop.inst_id = inst.inst_id AND prop.prop_stts_code = prop_stts.prop_stts_code
 AND a.pend_id *= pps.prop_id AND pps.panl_id *= pr.panl_id AND pps.rcom_seq_num *= pr.rcom_seq_num
ORDER BY a.lead, a.prop_id, pi_vw.pi_last_name, pi_vw.pi_frst_name, a.pi_id, prop.rqst_dol DESC
DROP TABLE #myPend, #myProps,#myPIs
</t>
  </si>
  <si>
    <t>dsn=RPTSERVER;server=RPTSQL.nsf.gov;port=5000;database=rptdb;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</si>
  <si>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</si>
  <si>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 xml:space="preserve"> </t>
  </si>
  <si>
    <t>1502544</t>
  </si>
  <si>
    <t>Marenco</t>
  </si>
  <si>
    <t>Pedro</t>
  </si>
  <si>
    <t>pmarenco@brynmawr.edu</t>
  </si>
  <si>
    <t>Bryn Mawr College</t>
  </si>
  <si>
    <t>269831332</t>
  </si>
  <si>
    <t>1428975</t>
  </si>
  <si>
    <t>1189</t>
  </si>
  <si>
    <t>DLAMBER</t>
  </si>
  <si>
    <t>MRI:   Stable isotope analyses in a liberal arts college setting: teaching and research opportunities for undergraduates and faculty</t>
  </si>
  <si>
    <t>#N/A</t>
  </si>
  <si>
    <t>(blank)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</si>
  <si>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It will ask for a RPTserver id and password; you can check Remember me &amp; save the workbook.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</si>
</sst>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mm/dd/yy;@"/>
    <numFmt numFmtId="168" formatCode="_(* #,##0_);_(* \(#,##0\);_(* &quot;-&quot;??_);_(@_)"/>
    <numFmt numFmtId="169" formatCode=";;;**********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1"/>
      <name val="Menlo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4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166" fontId="0" fillId="0" borderId="0" xfId="1" applyNumberFormat="1" applyFont="1"/>
    <xf numFmtId="167" fontId="0" fillId="0" borderId="0" xfId="0" applyNumberFormat="1"/>
    <xf numFmtId="167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7" fontId="0" fillId="0" borderId="0" xfId="2" applyNumberFormat="1" applyFont="1"/>
    <xf numFmtId="168" fontId="0" fillId="0" borderId="0" xfId="3" applyNumberFormat="1" applyFont="1"/>
    <xf numFmtId="0" fontId="0" fillId="0" borderId="0" xfId="0"/>
    <xf numFmtId="22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8" fontId="0" fillId="0" borderId="0" xfId="3" applyNumberFormat="1" applyFont="1"/>
    <xf numFmtId="168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Border="1"/>
    <xf numFmtId="49" fontId="6" fillId="0" borderId="0" xfId="0" quotePrefix="1" applyNumberFormat="1" applyFont="1" applyBorder="1"/>
    <xf numFmtId="0" fontId="4" fillId="0" borderId="0" xfId="4" applyNumberFormat="1" applyBorder="1"/>
    <xf numFmtId="0" fontId="0" fillId="0" borderId="0" xfId="0" applyNumberFormat="1" applyBorder="1"/>
    <xf numFmtId="0" fontId="8" fillId="0" borderId="0" xfId="0" applyFont="1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5">
    <dxf>
      <numFmt numFmtId="167" formatCode="mm/dd/yy;@"/>
    </dxf>
    <dxf>
      <numFmt numFmtId="167" formatCode="mm/dd/yy;@"/>
    </dxf>
    <dxf>
      <numFmt numFmtId="167" formatCode="mm/dd/yy;@"/>
    </dxf>
    <dxf>
      <numFmt numFmtId="167" formatCode="mm/dd/yy;@"/>
    </dxf>
    <dxf>
      <numFmt numFmtId="167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* #,##0_);_(* \(#,##0\);_(* &quot;-&quot;??_);_(@_)"/>
    </dxf>
    <dxf>
      <numFmt numFmtId="27" formatCode="m/d/yy\ h:mm"/>
    </dxf>
    <dxf>
      <numFmt numFmtId="27" formatCode="m/d/yy\ h:mm"/>
    </dxf>
    <dxf>
      <numFmt numFmtId="30" formatCode="@"/>
    </dxf>
    <dxf>
      <numFmt numFmtId="167" formatCode="mm/dd/yy;@"/>
    </dxf>
    <dxf>
      <numFmt numFmtId="167" formatCode="mm/dd/yy;@"/>
    </dxf>
    <dxf>
      <numFmt numFmtId="167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numFmt numFmtId="167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</dxf>
    <dxf>
      <numFmt numFmtId="27" formatCode="m/d/yy\ h:mm"/>
    </dxf>
    <dxf>
      <numFmt numFmtId="27" formatCode="m/d/yy\ h:mm"/>
    </dxf>
    <dxf>
      <numFmt numFmtId="27" formatCode="m/d/yy\ h:mm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</border>
    </dxf>
    <dxf>
      <border diagonalUp="0" diagonalDown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</dxf>
    <dxf>
      <numFmt numFmtId="30" formatCode="@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168" formatCode="_(* #,##0_);_(* \(#,##0\);_(* &quot;-&quot;??_);_(@_)"/>
    </dxf>
    <dxf>
      <numFmt numFmtId="0" formatCode="General"/>
    </dxf>
    <dxf>
      <numFmt numFmtId="0" formatCode="General"/>
    </dxf>
    <dxf>
      <numFmt numFmtId="166" formatCode="_(&quot;$&quot;* #,##0_);_(&quot;$&quot;* \(#,##0\);_(&quot;$&quot;* &quot;-&quot;??_);_(@_)"/>
    </dxf>
    <dxf>
      <numFmt numFmtId="166" formatCode="_(&quot;$&quot;* #,##0_);_(&quot;$&quot;* \(#,##0\);_(&quot;$&quot;* &quot;-&quot;??_);_(@_)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openxmlformats.org/officeDocument/2006/relationships/customXml" Target="../customXml/item1.xml"/><Relationship Id="rId13" Type="http://schemas.openxmlformats.org/officeDocument/2006/relationships/customXml" Target="../customXml/item2.xml"/><Relationship Id="rId14" Type="http://schemas.openxmlformats.org/officeDocument/2006/relationships/customXml" Target="../customXml/item3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pivotCacheDefinition" Target="pivotCache/pivotCacheDefinition1.xml"/><Relationship Id="rId6" Type="http://schemas.openxmlformats.org/officeDocument/2006/relationships/pivotCacheDefinition" Target="pivotCache/pivotCacheDefinition2.xml"/><Relationship Id="rId7" Type="http://schemas.openxmlformats.org/officeDocument/2006/relationships/theme" Target="theme/theme1.xml"/><Relationship Id="rId8" Type="http://schemas.openxmlformats.org/officeDocument/2006/relationships/connections" Target="connections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139700</xdr:rowOff>
        </xdr:from>
        <xdr:to>
          <xdr:col>6</xdr:col>
          <xdr:colOff>660400</xdr:colOff>
          <xdr:row>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066.53640138889" createdVersion="5" refreshedVersion="4" minRefreshableVersion="3" recordCount="1">
  <cacheSource type="worksheet">
    <worksheetSource name="PendingTable"/>
  </cacheSource>
  <cacheFields count="32">
    <cacheField name="lead" numFmtId="49">
      <sharedItems containsNonDate="0" containsBlank="1" count="61">
        <m/>
        <s v="1733866" u="1"/>
        <s v="1703666" u="1"/>
        <s v="1724407" u="1"/>
        <s v="1723941" u="1"/>
        <s v="1733692" u="1"/>
        <s v="1703546" u="1"/>
        <s v="1704510" u="1"/>
        <s v="1733747" u="1"/>
        <s v="1704238" u="1"/>
        <s v="1704864" u="1"/>
        <s v="1704188" u="1"/>
        <s v="1637504" u="1"/>
        <s v="1637454" u="1"/>
        <s v="1703574" u="1"/>
        <s v="1637307" u="1"/>
        <s v="1703374" u="1"/>
        <s v="1637532" u="1"/>
        <s v="1637536" u="1"/>
        <s v="1750076" u="1"/>
        <s v="1750127" u="1"/>
        <s v="1637539" u="1"/>
        <s v="1715187" u="1"/>
        <s v="1704299" u="1"/>
        <s v="1710358" u="1"/>
        <s v="1637566" u="1"/>
        <s v="1637418" u="1"/>
        <s v="1714779" u="1"/>
        <s v="1637442" u="1"/>
        <s v="1707529" u="1"/>
        <s v="1724227" u="1"/>
        <s v="1705091" u="1"/>
        <s v="1234567" u="1"/>
        <s v="1637598" u="1"/>
        <s v="1704257" u="1"/>
        <s v="1637524" u="1"/>
        <s v="1111111" u="1"/>
        <s v="1641276" u="1"/>
        <s v="1703996" u="1"/>
        <s v="1724132" u="1"/>
        <s v="1733849" u="1"/>
        <s v="1703925" u="1"/>
        <s v="1733874" u="1"/>
        <s v="1637407" u="1"/>
        <s v="1637559" u="1"/>
        <s v="1733878" u="1"/>
        <s v="1733803" u="1"/>
        <s v="1637385" u="1"/>
        <s v="1749678" u="1"/>
        <s v="1703405" u="1"/>
        <s v="1637512" u="1"/>
        <s v="1704046" u="1"/>
        <s v="1724197" u="1"/>
        <s v="1710884" u="1"/>
        <s v="1704473" u="1"/>
        <s v="1733834" u="1"/>
        <s v="1704879" u="1"/>
        <s v="1733837" u="1"/>
        <s v="1740888" u="1"/>
        <s v="1703861" u="1"/>
        <s v="1708493" u="1"/>
      </sharedItems>
    </cacheField>
    <cacheField name="no" numFmtId="0">
      <sharedItems containsNonDate="0" containsString="0" containsBlank="1" containsNumber="1" containsInteger="1" minValue="1" maxValue="62" count="32">
        <m/>
        <n v="34" u="1"/>
        <n v="13" u="1"/>
        <n v="5" u="1"/>
        <n v="14" u="1"/>
        <n v="2" u="1"/>
        <n v="6" u="1"/>
        <n v="16" u="1"/>
        <n v="17" u="1"/>
        <n v="18" u="1"/>
        <n v="52" u="1"/>
        <n v="19" u="1"/>
        <n v="7" u="1"/>
        <n v="20" u="1"/>
        <n v="21" u="1"/>
        <n v="22" u="1"/>
        <n v="1" u="1"/>
        <n v="23" u="1"/>
        <n v="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 containsNonDate="0" containsString="0" containsBlank="1"/>
    </cacheField>
    <cacheField name="pi_last_name" numFmtId="0">
      <sharedItems containsNonDate="0" containsBlank="1" count="86">
        <m/>
        <s v="Perona" u="1"/>
        <s v="Rubinfeld" u="1"/>
        <s v="ROTH" u="1"/>
        <s v="Wood" u="1"/>
        <s v="Wu" u="1"/>
        <s v="Su" u="1"/>
        <s v="Lin" u="1"/>
        <s v="Zussman" u="1"/>
        <s v="Miller" u="1"/>
        <s v="Tsechpenakis" u="1"/>
        <s v="Goldwasser" u="1"/>
        <s v="Haeupler" u="1"/>
        <s v="Schroeder" u="1"/>
        <s v="Metaxas" u="1"/>
        <s v="Balakrishnan" u="1"/>
        <s v="Agarwal" u="1"/>
        <s v="Mulase" u="1"/>
        <s v="Low" u="1"/>
        <s v="Fisher" u="1"/>
        <s v="Nagarajan" u="1"/>
        <s v="Griffin" u="1"/>
        <s v="Leskovec" u="1"/>
        <s v="Pan" u="1"/>
        <s v="Sekar" u="1"/>
        <s v="Koenig" u="1"/>
        <s v="Owens" u="1"/>
        <s v="Yuan" u="1"/>
        <s v="Murray" u="1"/>
        <s v="Han" u="1"/>
        <s v="Seshadhri" u="1"/>
        <s v="Kennard" u="1"/>
        <s v="Azevedo" u="1"/>
        <s v="Kaeli" u="1"/>
        <s v="Shroff" u="1"/>
        <s v="Borner" u="1"/>
        <s v="Pankratius" u="1"/>
        <s v="Kane" u="1"/>
        <s v="Kobourov" u="1"/>
        <s v="Foster" u="1"/>
        <s v="Stein" u="1"/>
        <s v="Kannan" u="1"/>
        <s v="Shi" u="1"/>
        <s v="Kuindersma" u="1"/>
        <s v="Panagou" u="1"/>
        <s v="Galloway" u="1"/>
        <s v="Kalai" u="1"/>
        <s v="Adams" u="1"/>
        <s v="Vadhan" u="1"/>
        <s v="Sinha" u="1"/>
        <s v="Vohra" u="1"/>
        <s v="Lobaton" u="1"/>
        <s v="Saha" u="1"/>
        <s v="Munagala" u="1"/>
        <s v="Valiant" u="1"/>
        <s v="Lee" u="1"/>
        <s v="Rudra" u="1"/>
        <s v="Wang" u="1"/>
        <s v="Knopf" u="1"/>
        <s v="Charikar" u="1"/>
        <s v="Berger" u="1"/>
        <s v="Cheng" u="1"/>
        <s v="Brooks" u="1"/>
        <s v="Parameswaran" u="1"/>
        <s v="Re" u="1"/>
        <s v="Daniilidis" u="1"/>
        <s v="Yim" u="1"/>
        <s v="Shen" u="1"/>
        <s v="Reingold" u="1"/>
        <s v="Raz" u="1"/>
        <s v="Zhang" u="1"/>
        <s v="Im" u="1"/>
        <s v="Wei" u="1"/>
        <s v="Chen" u="1"/>
        <s v="Sudan" u="1"/>
        <s v="Gibson" u="1"/>
        <s v="Glickenstein" u="1"/>
        <s v="Kumar" u="1"/>
        <s v="Yue" u="1"/>
        <s v="Squicciarini" u="1"/>
        <s v="Williams" u="1"/>
        <s v="Ayanian" u="1"/>
        <s v="Phillips" u="1"/>
        <s v="Fernandes" u="1"/>
        <s v="Shearer" u="1"/>
        <s v="Grosu" u="1"/>
      </sharedItems>
    </cacheField>
    <cacheField name="pi_frst_name" numFmtId="0">
      <sharedItems containsNonDate="0" containsString="0" containsBlank="1"/>
    </cacheField>
    <cacheField name="pi_emai_addr" numFmtId="0">
      <sharedItems containsNonDate="0" containsString="0" containsBlank="1"/>
    </cacheField>
    <cacheField name="proj_role_code" numFmtId="0">
      <sharedItems containsNonDate="0" containsString="0" containsBlank="1"/>
    </cacheField>
    <cacheField name="pi_id" numFmtId="22">
      <sharedItems containsNonDate="0" containsString="0" containsBlank="1"/>
    </cacheField>
    <cacheField name="inst_name" numFmtId="22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String="0" containsBlank="1"/>
    </cacheField>
    <cacheField name="pm_ibm_logn_id" numFmtId="0">
      <sharedItems containsNonDate="0" containsString="0" containsBlank="1"/>
    </cacheField>
    <cacheField name="ej" numFmtId="0">
      <sharedItems containsNonDate="0" containsString="0" containsBlank="1"/>
    </cacheField>
    <cacheField name="pend_id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8">
      <sharedItems containsNonDate="0" containsString="0" containsBlank="1"/>
    </cacheField>
    <cacheField name="numPI" numFmtId="0">
      <sharedItems containsNonDate="0" containsString="0" containsBlank="1"/>
    </cacheField>
    <cacheField name="rqst/PI" numFmtId="168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0">
      <sharedItems containsNonDate="0" containsString="0" containsBlank="1"/>
    </cacheField>
    <cacheField name="nsf_rcvd_date" numFmtId="167">
      <sharedItems containsNonDate="0" containsString="0" containsBlank="1"/>
    </cacheField>
    <cacheField name="pm_asgn_date" numFmtId="167">
      <sharedItems containsNonDate="0" containsString="0" containsBlank="1"/>
    </cacheField>
    <cacheField name="rqst_eff_date" numFmtId="167">
      <sharedItems containsNonDate="0" containsString="0" containsBlank="1"/>
    </cacheField>
    <cacheField name="rcom_eff_date" numFmtId="167">
      <sharedItems containsNonDate="0" containsString="0" containsBlank="1"/>
    </cacheField>
    <cacheField name="pm_rcom_date" numFmtId="167">
      <sharedItems containsNonDate="0" containsString="0" containsBlank="1"/>
    </cacheField>
    <cacheField name="prop_stts_code" numFmtId="0">
      <sharedItems containsNonDate="0" containsString="0" containsBlank="1"/>
    </cacheField>
    <cacheField name="prop_stts_abbr" numFmtId="0">
      <sharedItems containsNonDate="0" containsString="0" containsBlank="1"/>
    </cacheField>
    <cacheField name="prop_titl_tx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3066.536405092593" createdVersion="5" refreshedVersion="4" minRefreshableVersion="3" recordCount="1">
  <cacheSource type="worksheet">
    <worksheetSource name="Query_from_RPTSERVER" sheet="Awards"/>
  </cacheSource>
  <cacheFields count="31">
    <cacheField name="lead" numFmtId="49">
      <sharedItems count="154">
        <s v=" "/>
        <s v="1733866" u="1"/>
        <s v="1703666" u="1"/>
        <s v="1751254" u="1"/>
        <s v="1637571" u="1"/>
        <s v="1708420" u="1"/>
        <s v="1724407" u="1"/>
        <s v="1709111" u="1"/>
        <s v="1711309" u="1"/>
        <s v="1637573" u="1"/>
        <s v="1723941" u="1"/>
        <s v="1708422" u="1"/>
        <s v="1563729" u="1"/>
        <s v="1637576" u="1"/>
        <s v="1711283" u="1"/>
        <s v="1733692" u="1"/>
        <s v="1744009" u="1"/>
        <s v="1536026" u="1"/>
        <s v="1704860" u="1"/>
        <s v="1637377" u="1"/>
        <s v="1708629" u="1"/>
        <s v="1718902" u="1"/>
        <s v="1708226" u="1"/>
        <s v="1703546" u="1"/>
        <s v="1704510" u="1"/>
        <s v="1709544" u="1"/>
        <s v="1733747" u="1"/>
        <s v="1018829" u="1"/>
        <s v="1704238" u="1"/>
        <s v="1704864" u="1"/>
        <s v="1539079" u="1"/>
        <s v="1704188" u="1"/>
        <s v="1535967" u="1"/>
        <s v="1637504" u="1"/>
        <s v="0963975" u="1"/>
        <s v="1637454" u="1"/>
        <s v="1535565" u="1"/>
        <s v="1563155" u="1"/>
        <s v="1535991" u="1"/>
        <s v="1703574" u="1"/>
        <s v="1637307" u="1"/>
        <s v="1711014" u="1"/>
        <s v="1539157" u="1"/>
        <s v="1703374" u="1"/>
        <s v="1637532" u="1"/>
        <s v="1563838" u="1"/>
        <s v="1535795" u="1"/>
        <s v="1637534" u="1"/>
        <s v="1718533" u="1"/>
        <s v="1637536" u="1"/>
        <s v="1710150" u="1"/>
        <s v="1637538" u="1"/>
        <s v="1637539" u="1"/>
        <s v="1715187" u="1"/>
        <s v="1637360" u="1"/>
        <s v="1711522" u="1"/>
        <s v="1707924" u="1"/>
        <s v="1539111" u="1"/>
        <s v="1704299" u="1"/>
        <s v="1710358" u="1"/>
        <s v="1751047" u="1"/>
        <s v="1707270" u="1"/>
        <s v="1535952" u="1"/>
        <s v="1637418" u="1"/>
        <s v="1712995" u="1"/>
        <s v="1714779" u="1"/>
        <s v="1708641" u="1"/>
        <s v="1539118" u="1"/>
        <s v="1637442" u="1"/>
        <s v="1724227" u="1"/>
        <s v="1535755" u="1"/>
        <s v="1705091" u="1"/>
        <s v="1539091" u="1"/>
        <s v="1637393" u="1"/>
        <s v="1234567" u="1"/>
        <s v="1637596" u="1"/>
        <s v="1533823" u="1"/>
        <s v="1708798" u="1"/>
        <s v="1703765" u="1"/>
        <s v="1637598" u="1"/>
        <s v="1539095" u="1"/>
        <s v="1539097" u="1"/>
        <s v="1704257" u="1"/>
        <s v="1539098" u="1"/>
        <s v="1637472" u="1"/>
        <s v="1749563" u="1"/>
        <s v="1535987" u="1"/>
        <s v="1637524" u="1"/>
        <s v="1700894" u="1"/>
        <s v="1749414" u="1"/>
        <s v="1111111" u="1"/>
        <s v="1707583" u="1"/>
        <s v="1641276" u="1"/>
        <s v="1703996" u="1"/>
        <s v="1724132" u="1"/>
        <s v="1637529" u="1"/>
        <s v="1565235" u="1"/>
        <s v="1565387" u="1"/>
        <s v="1711439" u="1"/>
        <s v="1705028" u="1"/>
        <s v="1733849" u="1"/>
        <s v="1536002" u="1"/>
        <s v="1564549" u="1"/>
        <s v="1637556" u="1"/>
        <s v="1703925" u="1"/>
        <s v="1733874" u="1"/>
        <s v="1637407" u="1"/>
        <s v="1733878" u="1"/>
        <s v="1709475" u="1"/>
        <s v="1637584" u="1"/>
        <s v="1637585" u="1"/>
        <s v="1562041" u="1"/>
        <s v="1711293" u="1"/>
        <s v="1733803" u="1"/>
        <s v="1743075" u="1"/>
        <s v="1637385" u="1"/>
        <s v="1539134" u="1"/>
        <s v="1749678" u="1"/>
        <s v="1703351" u="1"/>
        <s v="1539084" u="1"/>
        <s v="1637386" u="1"/>
        <s v="1539135" u="1"/>
        <s v="1708033" u="1"/>
        <s v="1535972" u="1"/>
        <s v="1727545" u="1"/>
        <s v="1703405" u="1"/>
        <s v="1708389" u="1"/>
        <s v="1637512" u="1"/>
        <s v="1539088" u="1"/>
        <s v="1563990" u="1"/>
        <s v="1724197" u="1"/>
        <s v="1535977" u="1"/>
        <s v="1710884" u="1"/>
        <s v="1704473" u="1"/>
        <s v="1637516" u="1"/>
        <s v="1535900" u="1"/>
        <s v="1733834" u="1"/>
        <s v="1707827" u="1"/>
        <s v="1704879" u="1"/>
        <s v="1535851" u="1"/>
        <s v="1535902" u="1"/>
        <s v="1535852" u="1"/>
        <s v="1733837" u="1"/>
        <s v="1740888" u="1"/>
        <s v="1703861" u="1"/>
        <s v="1708493" u="1"/>
        <s v="1718342" u="1"/>
        <s v="1535857" u="1"/>
        <s v="1637495" u="1"/>
        <s v="1749385" u="1"/>
        <s v="1637496" u="1"/>
        <s v="1717100" u="1"/>
        <s v="1637497" u="1"/>
        <s v="1710565" u="1"/>
      </sharedItems>
    </cacheField>
    <cacheField name="no" numFmtId="0">
      <sharedItems containsMixedTypes="1" containsNumber="1" containsInteger="1" minValue="1" maxValue="65" count="46">
        <e v="#N/A"/>
        <n v="34" u="1"/>
        <n v="13" u="1"/>
        <n v="36" u="1"/>
        <n v="61" u="1"/>
        <n v="38" u="1"/>
        <n v="5" u="1"/>
        <n v="63" u="1"/>
        <n v="42" u="1"/>
        <n v="15" u="1"/>
        <n v="2" u="1"/>
        <n v="6" u="1"/>
        <n v="16" u="1"/>
        <n v="17" u="1"/>
        <n v="18" u="1"/>
        <n v="65" u="1"/>
        <n v="19" u="1"/>
        <n v="7" u="1"/>
        <n v="20" u="1"/>
        <n v="21" u="1"/>
        <n v="22" u="1"/>
        <n v="60" u="1"/>
        <n v="1" u="1"/>
        <n v="23" u="1"/>
        <n v="3" u="1"/>
        <n v="62" u="1"/>
        <n v="8" u="1"/>
        <n v="24" u="1"/>
        <n v="25" u="1"/>
        <n v="9" u="1"/>
        <n v="43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  <cacheField name="prop_id" numFmtId="0">
      <sharedItems/>
    </cacheField>
    <cacheField name="pi_last_name" numFmtId="0">
      <sharedItems count="253">
        <s v="Marenco"/>
        <s v="Lewis" u="1"/>
        <s v="Klivans" u="1"/>
        <s v="Pothen" u="1"/>
        <s v="Andoni" u="1"/>
        <s v="Gatterbauer" u="1"/>
        <s v="Perona" u="1"/>
        <s v="Minicozzi" u="1"/>
        <s v="Stefankovic" u="1"/>
        <s v="Chandrasekaran" u="1"/>
        <s v="Grover" u="1"/>
        <s v="Prabhakaran" u="1"/>
        <s v="Demaine" u="1"/>
        <s v="Servedio" u="1"/>
        <s v="Saraf" u="1"/>
        <s v="Rubinfeld" u="1"/>
        <s v="Moitra" u="1"/>
        <s v="Diakonikolas" u="1"/>
        <s v="ROTH" u="1"/>
        <s v="Shemyakova" u="1"/>
        <s v="Suri" u="1"/>
        <s v="Panigrahi" u="1"/>
        <s v="Wood" u="1"/>
        <s v="Wu" u="1"/>
        <s v="Lovett" u="1"/>
        <s v="Ruan" u="1"/>
        <s v="Su" u="1"/>
        <s v="Lin" u="1"/>
        <s v="Zussman" u="1"/>
        <s v="Viaclovsky" u="1"/>
        <s v="Tsechpenakis" u="1"/>
        <s v="Buss" u="1"/>
        <s v="Iacono" u="1"/>
        <s v="Ramakrishnan" u="1"/>
        <s v="Balazinska" u="1"/>
        <s v="Fasy" u="1"/>
        <s v="Indyk" u="1"/>
        <s v="Goudeseune" u="1"/>
        <s v="Liu" u="1"/>
        <s v="Eppstein" u="1"/>
        <s v="Vullikanti" u="1"/>
        <s v="Patro" u="1"/>
        <s v="Goldwasser" u="1"/>
        <s v="Bender" u="1"/>
        <s v="Ni" u="1"/>
        <s v="Mitzenmacher" u="1"/>
        <s v="Haeupler" u="1"/>
        <s v="Schoen" u="1"/>
        <s v="Metaxas" u="1"/>
        <s v="Agarwal" u="1"/>
        <s v="Mulase" u="1"/>
        <s v="Katabi" u="1"/>
        <s v="Forsyth" u="1"/>
        <s v="Paturi" u="1"/>
        <s v="Kaltofen" u="1"/>
        <s v="Parrilo" u="1"/>
        <s v="Pettie" u="1"/>
        <s v="Chekuri" u="1"/>
        <s v="Goldman" u="1"/>
        <s v="Low" u="1"/>
        <s v="Fisher" u="1"/>
        <s v="Sa Barreto" u="1"/>
        <s v="Pai" u="1"/>
        <s v="Jones" u="1"/>
        <s v="Zhou" u="1"/>
        <s v="Griffin" u="1"/>
        <s v="Leskovec" u="1"/>
        <s v="Pan" u="1"/>
        <s v="Darrell" u="1"/>
        <s v="Sekar" u="1"/>
        <s v="Koenig" u="1"/>
        <s v="Owens" u="1"/>
        <s v="Rajaraman" u="1"/>
        <s v="Murray" u="1"/>
        <s v="Brisk" u="1"/>
        <s v="McGregor" u="1"/>
        <s v="Mese" u="1"/>
        <s v="Han" u="1"/>
        <s v="Madanayake" u="1"/>
        <s v="Arce" u="1"/>
        <s v="Randall" u="1"/>
        <s v="Har-Peled" u="1"/>
        <s v="Lau" u="1"/>
        <s v="Honaker" u="1"/>
        <s v="Pascaleff" u="1"/>
        <s v="Ravi" u="1"/>
        <s v="Kakade" u="1"/>
        <s v="Moseley" u="1"/>
        <s v="Kennard" u="1"/>
        <s v="Azevedo" u="1"/>
        <s v="Cottrell" u="1"/>
        <s v="Kaeli" u="1"/>
        <s v="Abadi" u="1"/>
        <s v="Akella" u="1"/>
        <s v="Shroff" u="1"/>
        <s v="Farach-Colton" u="1"/>
        <s v="Borner" u="1"/>
        <s v="Kleinberg" u="1"/>
        <s v="Pankratius" u="1"/>
        <s v="Kane" u="1"/>
        <s v="Kobourov" u="1"/>
        <s v="Foster" u="1"/>
        <s v="Sontag" u="1"/>
        <s v="Hastings" u="1"/>
        <s v="Feng" u="1"/>
        <s v="Stein" u="1"/>
        <s v="Kannan" u="1"/>
        <s v="Wierman" u="1"/>
        <s v="Khuri" u="1"/>
        <s v="Smith" u="1"/>
        <s v="Shi" u="1"/>
        <s v="Perry" u="1"/>
        <s v="Blum" u="1"/>
        <s v="Tang" u="1"/>
        <s v="Cossairt" u="1"/>
        <s v="Dasgupta" u="1"/>
        <s v="Rinaldo" u="1"/>
        <s v="Santhanam" u="1"/>
        <s v="Srinivasan" u="1"/>
        <s v="Kuindersma" u="1"/>
        <s v="Zuckerman" u="1"/>
        <s v="Goel" u="1"/>
        <s v="Huang" u="1"/>
        <s v="Panagou" u="1"/>
        <s v="Galloway" u="1"/>
        <s v="Bray" u="1"/>
        <s v="Blumenstock" u="1"/>
        <s v="Kapouleas" u="1"/>
        <s v="Impagliazzo" u="1"/>
        <s v="Sun" u="1"/>
        <s v="Adams" u="1"/>
        <s v="Arora" u="1"/>
        <s v="Gharib" u="1"/>
        <s v="Vadhan" u="1"/>
        <s v="Guruswami" u="1"/>
        <s v="Daskalakis" u="1"/>
        <s v="Cho" u="1"/>
        <s v="Warnow" u="1"/>
        <s v="Regan" u="1"/>
        <s v="Marathe" u="1"/>
        <s v="Sinha" u="1"/>
        <s v="Kelner" u="1"/>
        <s v="Gao" u="1"/>
        <s v="Vohra" u="1"/>
        <s v="Sundaram" u="1"/>
        <s v="Cao" u="1"/>
        <s v="Seidel" u="1"/>
        <s v="Song" u="1"/>
        <s v="Chakareski" u="1"/>
        <s v="Borcea" u="1"/>
        <s v="Studer" u="1"/>
        <s v="Lobaton" u="1"/>
        <s v="Kozen" u="1"/>
        <s v="Saha" u="1"/>
        <s v="Munagala" u="1"/>
        <s v="Valiant" u="1"/>
        <s v="Lee" u="1"/>
        <s v="Vempala" u="1"/>
        <s v="Hsu" u="1"/>
        <s v="McCallum" u="1"/>
        <s v="Schoenebeck" u="1"/>
        <s v="Zou" u="1"/>
        <s v="Li" u="1"/>
        <s v="Fahmy" u="1"/>
        <s v="Rudra" u="1"/>
        <s v="Wasserman" u="1"/>
        <s v="Wang" u="1"/>
        <s v="Knopf" u="1"/>
        <s v="Kronheimer" u="1"/>
        <s v="Charikar" u="1"/>
        <s v="Suciu" u="1"/>
        <s v="Berger" u="1"/>
        <s v="Jacob" u="1"/>
        <s v="White" u="1"/>
        <s v="Leiserson" u="1"/>
        <s v="Tovey" u="1"/>
        <s v="Roughgarden" u="1"/>
        <s v="Sidiropoulos" u="1"/>
        <s v="Cheng" u="1"/>
        <s v="Spielman" u="1"/>
        <s v="Maciejewski" u="1"/>
        <s v="Golparvar-Fard" u="1"/>
        <s v="Brooks" u="1"/>
        <s v="Parameswaran" u="1"/>
        <s v="Re" u="1"/>
        <s v="Babai" u="1"/>
        <s v="Richa" u="1"/>
        <s v="Sitchinava" u="1"/>
        <s v="Del Pia" u="1"/>
        <s v="Andersen" u="1"/>
        <s v="Moshkovitz" u="1"/>
        <s v="Lind" u="1"/>
        <s v="Wenk" u="1"/>
        <s v="Chong" u="1"/>
        <s v="Katsaggelos" u="1"/>
        <s v="Rao" u="1"/>
        <s v="Daniilidis" u="1"/>
        <s v="Yim" u="1"/>
        <s v="Bilmes" u="1"/>
        <s v="Orecchia" u="1"/>
        <s v="Hasegawa-Johnson" u="1"/>
        <s v="Dey" u="1"/>
        <s v="Reiter" u="1"/>
        <s v="Chrobak" u="1"/>
        <s v="Chung" u="1"/>
        <s v="Mohri" u="1"/>
        <s v="Shen" u="1"/>
        <s v="Hazan" u="1"/>
        <s v="Balcan" u="1"/>
        <s v="Munteanu" u="1"/>
        <s v="Gans" u="1"/>
        <s v="Bhanu" u="1"/>
        <s v="Xu" u="1"/>
        <s v="Raz" u="1"/>
        <s v="Zhang" u="1"/>
        <s v="Tu" u="1"/>
        <s v="Im" u="1"/>
        <s v="Streinu" u="1"/>
        <s v="Pruhs" u="1"/>
        <s v="Porter" u="1"/>
        <s v="Peng" u="1"/>
        <s v="Wei" u="1"/>
        <s v="Kantarcioglu" u="1"/>
        <s v="Chen" u="1"/>
        <s v="Sudan" u="1"/>
        <s v="Mitchell" u="1"/>
        <s v="Gupta" u="1"/>
        <s v="Ngo" u="1"/>
        <s v="Gibson" u="1"/>
        <s v="Goodrich" u="1"/>
        <s v="Braverman" u="1"/>
        <s v="Mazumdar" u="1"/>
        <s v="Johnson" u="1"/>
        <s v="Kopparty" u="1"/>
        <s v="Maggs" u="1"/>
        <s v="Vigoda" u="1"/>
        <s v="Obradovic" u="1"/>
        <s v="Kumar" u="1"/>
        <s v="Saenko" u="1"/>
        <s v="Yue" u="1"/>
        <s v="Squicciarini" u="1"/>
        <s v="Weinkove" u="1"/>
        <s v="Williams" u="1"/>
        <s v="Silva" u="1"/>
        <s v="Ayanian" u="1"/>
        <s v="Albarghouthi" u="1"/>
        <s v="Phillips" u="1"/>
        <s v="Fernandes" u="1"/>
        <s v="Goldstein" u="1"/>
        <s v="Xia" u="1"/>
        <s v="Shearer" u="1"/>
        <s v="Hajiaghayi" u="1"/>
        <s v="Yannakakis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6">
      <sharedItems containsSemiMixedTypes="0" containsString="0" containsNumber="1" containsInteger="1" minValue="199914" maxValue="199914"/>
    </cacheField>
    <cacheField name="totPIs" numFmtId="0">
      <sharedItems containsSemiMixedTypes="0" containsString="0" containsNumber="1" containsInteger="1" minValue="2" maxValue="2"/>
    </cacheField>
    <cacheField name="Balance" numFmtId="166">
      <sharedItems containsSemiMixedTypes="0" containsString="0" containsNumber="1" minValue="49.839999999996508" maxValue="49.839999999996508"/>
    </cacheField>
    <cacheField name="Bal/PI" numFmtId="166">
      <sharedItems containsSemiMixedTypes="0" containsString="0" containsNumber="1" minValue="24.919999999998254" maxValue="24.919999999998254"/>
    </cacheField>
    <cacheField name="$ Spent" numFmtId="9">
      <sharedItems containsSemiMixedTypes="0" containsString="0" containsNumber="1" minValue="0.99975069279790307" maxValue="0.99975069279790307"/>
    </cacheField>
    <cacheField name="Time Spent" numFmtId="9">
      <sharedItems containsSemiMixedTypes="0" containsString="0" containsNumber="1" minValue="0.64840182648401823" maxValue="0.64840182648401823"/>
    </cacheField>
    <cacheField name="check" numFmtId="0">
      <sharedItems/>
    </cacheField>
    <cacheField name="awd_exp_date" numFmtId="167">
      <sharedItems containsSemiMixedTypes="0" containsNonDate="0" containsDate="1" containsString="0" minDate="2017-08-31T00:00:00" maxDate="2017-09-01T00:00:00"/>
    </cacheField>
    <cacheField name="totOblg_amt" numFmtId="166">
      <sharedItems containsSemiMixedTypes="0" containsString="0" containsNumber="1" containsInteger="1" minValue="199914" maxValue="199914"/>
    </cacheField>
    <cacheField name="totCuml_xpnd_amt" numFmtId="166">
      <sharedItems containsSemiMixedTypes="0" containsString="0" containsNumber="1" minValue="199864.16" maxValue="199864.16"/>
    </cacheField>
    <cacheField name="last_pymt_date" numFmtId="167">
      <sharedItems containsSemiMixedTypes="0" containsNonDate="0" containsDate="1" containsString="0" minDate="2016-08-11T00:00:00" maxDate="2016-08-12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7">
      <sharedItems containsSemiMixedTypes="0" containsNonDate="0" containsDate="1" containsString="0" minDate="2014-08-18T13:31:48" maxDate="2014-08-18T13:31:48"/>
    </cacheField>
    <cacheField name="awd_eff_date" numFmtId="167">
      <sharedItems containsSemiMixedTypes="0" containsNonDate="0" containsDate="1" containsString="0" minDate="2014-09-01T00:00:00" maxDate="2014-09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s v="1502544"/>
    <x v="0"/>
    <s v="Pedro"/>
    <s v="pmarenco@brynmawr.edu"/>
    <s v="1"/>
    <s v="269831332"/>
    <s v="Bryn Mawr College"/>
    <s v="eJ"/>
    <s v="1428975"/>
    <s v="Bryn Mawr College"/>
    <n v="199914"/>
    <n v="2"/>
    <n v="49.839999999996508"/>
    <n v="24.919999999998254"/>
    <n v="0.99975069279790307"/>
    <n v="0.64840182648401823"/>
    <s v=""/>
    <d v="2017-08-31T00:00:00"/>
    <n v="199914"/>
    <n v="199864.16"/>
    <d v="2016-08-11T00:00:00"/>
    <s v="eJ"/>
    <s v="1428975"/>
    <s v="06030000"/>
    <s v="1189"/>
    <s v="DLAMBER"/>
    <d v="2014-08-18T13:31:48"/>
    <d v="2014-09-01T00:00:00"/>
    <s v="MRI:   Stable isotope analyses in a liberal arts college setting: teaching and research opportunities for undergraduates and facult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L11:O15" firstHeaderRow="0" firstDataRow="1" firstDataCol="1"/>
  <pivotFields count="32">
    <pivotField axis="axisRow" showAll="0" sortType="descending">
      <items count="62">
        <item m="1" x="15"/>
        <item m="1" x="47"/>
        <item m="1" x="43"/>
        <item m="1" x="26"/>
        <item m="1" x="28"/>
        <item m="1" x="13"/>
        <item m="1" x="12"/>
        <item m="1" x="50"/>
        <item m="1" x="35"/>
        <item m="1" x="17"/>
        <item m="1" x="18"/>
        <item m="1" x="21"/>
        <item m="1" x="44"/>
        <item m="1" x="25"/>
        <item m="1" x="33"/>
        <item m="1" x="37"/>
        <item m="1" x="41"/>
        <item m="1" x="14"/>
        <item m="1" x="27"/>
        <item m="1" x="7"/>
        <item m="1" x="2"/>
        <item m="1" x="34"/>
        <item m="1" x="31"/>
        <item m="1" x="6"/>
        <item m="1" x="23"/>
        <item m="1" x="38"/>
        <item m="1" x="51"/>
        <item m="1" x="59"/>
        <item m="1" x="54"/>
        <item m="1" x="11"/>
        <item m="1" x="16"/>
        <item m="1" x="56"/>
        <item m="1" x="10"/>
        <item m="1" x="9"/>
        <item m="1" x="52"/>
        <item m="1" x="30"/>
        <item m="1" x="3"/>
        <item m="1" x="4"/>
        <item m="1" x="39"/>
        <item x="0"/>
        <item m="1" x="53"/>
        <item m="1" x="24"/>
        <item m="1" x="49"/>
        <item m="1" x="60"/>
        <item m="1" x="29"/>
        <item m="1" x="58"/>
        <item m="1" x="1"/>
        <item m="1" x="55"/>
        <item m="1" x="42"/>
        <item m="1" x="45"/>
        <item m="1" x="8"/>
        <item m="1" x="40"/>
        <item m="1" x="57"/>
        <item m="1" x="46"/>
        <item m="1" x="5"/>
        <item m="1" x="22"/>
        <item m="1" x="48"/>
        <item m="1" x="20"/>
        <item m="1" x="19"/>
        <item m="1" x="36"/>
        <item m="1" x="3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3">
        <item m="1" x="16"/>
        <item m="1" x="30"/>
        <item m="1" x="6"/>
        <item m="1" x="20"/>
        <item m="1" x="27"/>
        <item m="1" x="8"/>
        <item m="1" x="9"/>
        <item m="1" x="11"/>
        <item m="1" x="13"/>
        <item m="1" x="17"/>
        <item m="1" x="21"/>
        <item m="1" x="24"/>
        <item m="1" x="29"/>
        <item m="1" x="31"/>
        <item m="1" x="1"/>
        <item m="1" x="3"/>
        <item m="1" x="5"/>
        <item m="1" x="12"/>
        <item m="1" x="22"/>
        <item m="1" x="25"/>
        <item m="1" x="2"/>
        <item m="1" x="4"/>
        <item m="1" x="7"/>
        <item m="1" x="14"/>
        <item m="1" x="15"/>
        <item m="1" x="18"/>
        <item m="1" x="28"/>
        <item m="1" x="23"/>
        <item m="1" x="26"/>
        <item m="1" x="10"/>
        <item m="1" x="19"/>
        <item x="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7">
        <item m="1" x="16"/>
        <item m="1" x="81"/>
        <item m="1" x="15"/>
        <item m="1" x="60"/>
        <item m="1" x="39"/>
        <item m="1" x="25"/>
        <item m="1" x="18"/>
        <item m="1" x="9"/>
        <item m="1" x="53"/>
        <item m="1" x="26"/>
        <item m="1" x="36"/>
        <item m="1" x="82"/>
        <item m="1" x="24"/>
        <item m="1" x="34"/>
        <item m="1" x="49"/>
        <item m="1" x="40"/>
        <item m="1" x="6"/>
        <item m="1" x="57"/>
        <item m="1" x="78"/>
        <item m="1" x="8"/>
        <item m="1" x="65"/>
        <item m="1" x="77"/>
        <item m="1" x="55"/>
        <item m="1" x="66"/>
        <item m="1" x="73"/>
        <item m="1" x="54"/>
        <item m="1" x="69"/>
        <item m="1" x="3"/>
        <item m="1" x="48"/>
        <item m="1" x="68"/>
        <item m="1" x="59"/>
        <item m="1" x="80"/>
        <item m="1" x="37"/>
        <item m="1" x="41"/>
        <item m="1" x="50"/>
        <item m="1" x="11"/>
        <item m="1" x="46"/>
        <item m="1" x="2"/>
        <item m="1" x="30"/>
        <item m="1" x="64"/>
        <item m="1" x="56"/>
        <item m="1" x="12"/>
        <item m="1" x="70"/>
        <item m="1" x="67"/>
        <item m="1" x="47"/>
        <item m="1" x="62"/>
        <item m="1" x="43"/>
        <item m="1" x="72"/>
        <item m="1" x="4"/>
        <item m="1" x="19"/>
        <item m="1" x="85"/>
        <item m="1" x="42"/>
        <item m="1" x="28"/>
        <item m="1" x="1"/>
        <item m="1" x="44"/>
        <item m="1" x="10"/>
        <item m="1" x="32"/>
        <item m="1" x="29"/>
        <item m="1" x="51"/>
        <item m="1" x="5"/>
        <item x="0"/>
        <item m="1" x="83"/>
        <item m="1" x="17"/>
        <item m="1" x="58"/>
        <item m="1" x="31"/>
        <item m="1" x="76"/>
        <item m="1" x="45"/>
        <item m="1" x="14"/>
        <item m="1" x="33"/>
        <item m="1" x="7"/>
        <item m="1" x="23"/>
        <item m="1" x="27"/>
        <item m="1" x="75"/>
        <item m="1" x="63"/>
        <item m="1" x="38"/>
        <item m="1" x="35"/>
        <item m="1" x="61"/>
        <item m="1" x="79"/>
        <item m="1" x="21"/>
        <item m="1" x="52"/>
        <item m="1" x="22"/>
        <item m="1" x="74"/>
        <item m="1" x="71"/>
        <item m="1" x="20"/>
        <item m="1" x="13"/>
        <item m="1" x="8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8" showAll="0" defaultSubtotal="0"/>
    <pivotField showAll="0"/>
    <pivotField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4">
    <i>
      <x v="31"/>
    </i>
    <i r="1">
      <x v="39"/>
    </i>
    <i r="2"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8"/>
    <dataField name="Sum of rqst/PI" fld="21" baseField="0" baseItem="0" numFmtId="168"/>
  </dataFields>
  <formats count="4"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SummaryTable" cacheId="13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G11:J15" firstHeaderRow="0" firstDataRow="1" firstDataCol="1"/>
  <pivotFields count="31">
    <pivotField axis="axisRow" showAll="0" sortType="ascending">
      <items count="155">
        <item m="1" x="147"/>
        <item m="1" x="135"/>
        <item m="1" x="38"/>
        <item m="1" x="17"/>
        <item m="1" x="30"/>
        <item m="1" x="119"/>
        <item m="1" x="128"/>
        <item m="1" x="72"/>
        <item m="1" x="80"/>
        <item m="1" x="81"/>
        <item m="1" x="83"/>
        <item m="1" x="57"/>
        <item m="1" x="67"/>
        <item m="1" x="116"/>
        <item m="1" x="121"/>
        <item m="1" x="42"/>
        <item x="0"/>
        <item m="1" x="76"/>
        <item m="1" x="36"/>
        <item m="1" x="70"/>
        <item m="1" x="46"/>
        <item m="1" x="139"/>
        <item m="1" x="141"/>
        <item m="1" x="140"/>
        <item m="1" x="62"/>
        <item m="1" x="32"/>
        <item m="1" x="123"/>
        <item m="1" x="131"/>
        <item m="1" x="86"/>
        <item m="1" x="101"/>
        <item m="1" x="111"/>
        <item m="1" x="37"/>
        <item m="1" x="12"/>
        <item m="1" x="45"/>
        <item m="1" x="129"/>
        <item m="1" x="102"/>
        <item m="1" x="96"/>
        <item m="1" x="97"/>
        <item m="1" x="34"/>
        <item m="1" x="27"/>
        <item m="1" x="40"/>
        <item m="1" x="54"/>
        <item m="1" x="19"/>
        <item m="1" x="115"/>
        <item m="1" x="120"/>
        <item m="1" x="73"/>
        <item m="1" x="106"/>
        <item m="1" x="63"/>
        <item m="1" x="68"/>
        <item m="1" x="35"/>
        <item m="1" x="84"/>
        <item m="1" x="148"/>
        <item m="1" x="150"/>
        <item m="1" x="152"/>
        <item m="1" x="33"/>
        <item m="1" x="127"/>
        <item m="1" x="134"/>
        <item m="1" x="87"/>
        <item m="1" x="95"/>
        <item m="1" x="44"/>
        <item m="1" x="47"/>
        <item m="1" x="49"/>
        <item m="1" x="51"/>
        <item m="1" x="52"/>
        <item m="1" x="103"/>
        <item m="1" x="4"/>
        <item m="1" x="9"/>
        <item m="1" x="13"/>
        <item m="1" x="109"/>
        <item m="1" x="110"/>
        <item m="1" x="75"/>
        <item m="1" x="79"/>
        <item m="1" x="92"/>
        <item m="1" x="21"/>
        <item m="1" x="146"/>
        <item m="1" x="104"/>
        <item m="1" x="39"/>
        <item m="1" x="151"/>
        <item m="1" x="18"/>
        <item m="1" x="65"/>
        <item m="1" x="48"/>
        <item m="1" x="24"/>
        <item m="1" x="99"/>
        <item m="1" x="2"/>
        <item m="1" x="82"/>
        <item m="1" x="71"/>
        <item m="1" x="23"/>
        <item m="1" x="58"/>
        <item m="1" x="78"/>
        <item m="1" x="118"/>
        <item m="1" x="93"/>
        <item m="1" x="144"/>
        <item m="1" x="133"/>
        <item m="1" x="31"/>
        <item m="1" x="43"/>
        <item m="1" x="138"/>
        <item m="1" x="29"/>
        <item m="1" x="28"/>
        <item m="1" x="130"/>
        <item m="1" x="69"/>
        <item m="1" x="6"/>
        <item m="1" x="10"/>
        <item m="1" x="94"/>
        <item m="1" x="61"/>
        <item m="1" x="153"/>
        <item m="1" x="112"/>
        <item m="1" x="98"/>
        <item m="1" x="25"/>
        <item m="1" x="56"/>
        <item m="1" x="108"/>
        <item m="1" x="20"/>
        <item m="1" x="5"/>
        <item m="1" x="7"/>
        <item m="1" x="88"/>
        <item m="1" x="91"/>
        <item m="1" x="126"/>
        <item m="1" x="77"/>
        <item m="1" x="132"/>
        <item m="1" x="137"/>
        <item m="1" x="64"/>
        <item m="1" x="59"/>
        <item m="1" x="22"/>
        <item m="1" x="66"/>
        <item m="1" x="14"/>
        <item m="1" x="55"/>
        <item m="1" x="41"/>
        <item m="1" x="125"/>
        <item m="1" x="145"/>
        <item m="1" x="11"/>
        <item m="1" x="50"/>
        <item m="1" x="122"/>
        <item m="1" x="8"/>
        <item m="1" x="124"/>
        <item m="1" x="143"/>
        <item m="1" x="114"/>
        <item m="1" x="16"/>
        <item m="1" x="1"/>
        <item m="1" x="136"/>
        <item m="1" x="105"/>
        <item m="1" x="107"/>
        <item m="1" x="26"/>
        <item m="1" x="100"/>
        <item m="1" x="142"/>
        <item m="1" x="113"/>
        <item m="1" x="15"/>
        <item m="1" x="53"/>
        <item m="1" x="117"/>
        <item m="1" x="149"/>
        <item m="1" x="60"/>
        <item m="1" x="85"/>
        <item m="1" x="3"/>
        <item m="1" x="89"/>
        <item m="1" x="90"/>
        <item m="1" x="74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6">
        <item m="1" x="43"/>
        <item m="1" x="11"/>
        <item m="1" x="26"/>
        <item m="1" x="29"/>
        <item m="1" x="38"/>
        <item m="1" x="2"/>
        <item m="1" x="9"/>
        <item m="1" x="14"/>
        <item m="1" x="16"/>
        <item m="1" x="18"/>
        <item m="1" x="20"/>
        <item m="1" x="23"/>
        <item m="1" x="27"/>
        <item m="1" x="28"/>
        <item m="1" x="32"/>
        <item m="1" x="35"/>
        <item m="1" x="40"/>
        <item m="1" x="42"/>
        <item m="1" x="45"/>
        <item m="1" x="1"/>
        <item m="1" x="22"/>
        <item m="1" x="24"/>
        <item m="1" x="6"/>
        <item m="1" x="44"/>
        <item m="1" x="10"/>
        <item m="1" x="17"/>
        <item m="1" x="33"/>
        <item m="1" x="12"/>
        <item m="1" x="13"/>
        <item m="1" x="19"/>
        <item m="1" x="37"/>
        <item m="1" x="3"/>
        <item m="1" x="5"/>
        <item m="1" x="8"/>
        <item m="1" x="30"/>
        <item m="1" x="31"/>
        <item m="1" x="34"/>
        <item m="1" x="36"/>
        <item m="1" x="39"/>
        <item m="1" x="41"/>
        <item m="1" x="21"/>
        <item m="1" x="4"/>
        <item m="1" x="25"/>
        <item m="1" x="7"/>
        <item m="1" x="15"/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54">
        <item m="1" x="74"/>
        <item m="1" x="203"/>
        <item m="1" x="142"/>
        <item m="1" x="10"/>
        <item m="1" x="63"/>
        <item m="1" x="227"/>
        <item m="1" x="56"/>
        <item m="1" x="3"/>
        <item m="1" x="184"/>
        <item m="1" x="164"/>
        <item m="1" x="160"/>
        <item m="1" x="37"/>
        <item m="1" x="200"/>
        <item m="1" x="122"/>
        <item m="1" x="136"/>
        <item m="1" x="180"/>
        <item m="1" x="113"/>
        <item m="1" x="215"/>
        <item m="1" x="210"/>
        <item m="1" x="222"/>
        <item m="1" x="38"/>
        <item m="1" x="114"/>
        <item m="1" x="194"/>
        <item m="1" x="11"/>
        <item m="1" x="52"/>
        <item m="1" x="181"/>
        <item m="1" x="148"/>
        <item m="1" x="117"/>
        <item m="1" x="211"/>
        <item m="1" x="104"/>
        <item m="1" x="79"/>
        <item m="1" x="103"/>
        <item m="1" x="82"/>
        <item x="0"/>
        <item m="1" x="32"/>
        <item m="1" x="243"/>
        <item m="1" x="187"/>
        <item m="1" x="34"/>
        <item m="1" x="170"/>
        <item m="1" x="218"/>
        <item m="1" x="214"/>
        <item m="1" x="45"/>
        <item m="1" x="189"/>
        <item m="1" x="36"/>
        <item m="1" x="51"/>
        <item m="1" x="236"/>
        <item m="1" x="251"/>
        <item m="1" x="12"/>
        <item m="1" x="150"/>
        <item m="1" x="248"/>
        <item m="1" x="101"/>
        <item m="1" x="97"/>
        <item m="1" x="152"/>
        <item m="1" x="208"/>
        <item m="1" x="112"/>
        <item m="1" x="225"/>
        <item m="1" x="72"/>
        <item m="1" x="144"/>
        <item m="1" x="234"/>
        <item m="1" x="21"/>
        <item m="1" x="57"/>
        <item m="1" x="137"/>
        <item m="1" x="195"/>
        <item m="1" x="238"/>
        <item m="1" x="205"/>
        <item m="1" x="68"/>
        <item m="1" x="202"/>
        <item m="1" x="226"/>
        <item m="1" x="69"/>
        <item m="1" x="179"/>
        <item m="1" x="13"/>
        <item m="1" x="135"/>
        <item m="1" x="15"/>
        <item m="1" x="8"/>
        <item m="1" x="157"/>
        <item m="1" x="235"/>
        <item m="1" x="46"/>
        <item m="1" x="106"/>
        <item m="1" x="62"/>
        <item m="1" x="18"/>
        <item m="1" x="143"/>
        <item m="1" x="141"/>
        <item m="1" x="16"/>
        <item m="1" x="55"/>
        <item m="1" x="193"/>
        <item m="1" x="83"/>
        <item m="1" x="133"/>
        <item m="1" x="134"/>
        <item m="1" x="2"/>
        <item m="1" x="246"/>
        <item m="1" x="126"/>
        <item m="1" x="86"/>
        <item m="1" x="201"/>
        <item m="1" x="177"/>
        <item m="1" x="92"/>
        <item m="1" x="198"/>
        <item m="1" x="159"/>
        <item m="1" x="58"/>
        <item m="1" x="80"/>
        <item m="1" x="186"/>
        <item m="1" x="174"/>
        <item m="1" x="191"/>
        <item m="1" x="98"/>
        <item m="1" x="154"/>
        <item m="1" x="121"/>
        <item m="1" x="71"/>
        <item m="1" x="95"/>
        <item m="1" x="230"/>
        <item m="1" x="35"/>
        <item m="1" x="116"/>
        <item m="1" x="165"/>
        <item m="1" x="43"/>
        <item m="1" x="232"/>
        <item m="1" x="41"/>
        <item m="1" x="219"/>
        <item m="1" x="245"/>
        <item m="1" x="1"/>
        <item m="1" x="139"/>
        <item m="1" x="33"/>
        <item m="1" x="40"/>
        <item m="1" x="118"/>
        <item m="1" x="175"/>
        <item m="1" x="244"/>
        <item m="1" x="70"/>
        <item m="1" x="49"/>
        <item m="1" x="94"/>
        <item m="1" x="140"/>
        <item m="1" x="93"/>
        <item m="1" x="26"/>
        <item m="1" x="212"/>
        <item m="1" x="163"/>
        <item m="1" x="27"/>
        <item m="1" x="171"/>
        <item m="1" x="75"/>
        <item m="1" x="4"/>
        <item m="1" x="158"/>
        <item m="1" x="105"/>
        <item m="1" x="28"/>
        <item m="1" x="5"/>
        <item m="1" x="85"/>
        <item m="1" x="166"/>
        <item m="1" x="78"/>
        <item m="1" x="183"/>
        <item m="1" x="192"/>
        <item m="1" x="39"/>
        <item m="1" x="229"/>
        <item m="1" x="138"/>
        <item m="1" x="102"/>
        <item m="1" x="90"/>
        <item m="1" x="115"/>
        <item m="1" x="9"/>
        <item m="1" x="59"/>
        <item m="1" x="107"/>
        <item m="1" x="239"/>
        <item m="1" x="196"/>
        <item m="1" x="237"/>
        <item m="1" x="156"/>
        <item m="1" x="197"/>
        <item m="1" x="185"/>
        <item m="1" x="199"/>
        <item m="1" x="223"/>
        <item m="1" x="252"/>
        <item m="1" x="155"/>
        <item m="1" x="54"/>
        <item m="1" x="131"/>
        <item m="1" x="207"/>
        <item m="1" x="213"/>
        <item m="1" x="220"/>
        <item m="1" x="161"/>
        <item m="1" x="109"/>
        <item m="1" x="190"/>
        <item m="1" x="120"/>
        <item m="1" x="169"/>
        <item m="1" x="242"/>
        <item m="1" x="31"/>
        <item m="1" x="128"/>
        <item m="1" x="99"/>
        <item m="1" x="24"/>
        <item m="1" x="53"/>
        <item m="1" x="42"/>
        <item m="1" x="217"/>
        <item m="1" x="149"/>
        <item m="1" x="233"/>
        <item m="1" x="14"/>
        <item m="1" x="20"/>
        <item m="1" x="81"/>
        <item m="1" x="206"/>
        <item m="1" x="249"/>
        <item m="1" x="176"/>
        <item m="1" x="130"/>
        <item m="1" x="182"/>
        <item m="1" x="119"/>
        <item m="1" x="221"/>
        <item m="1" x="22"/>
        <item m="1" x="60"/>
        <item m="1" x="110"/>
        <item m="1" x="204"/>
        <item m="1" x="132"/>
        <item m="1" x="73"/>
        <item m="1" x="6"/>
        <item m="1" x="123"/>
        <item m="1" x="30"/>
        <item m="1" x="89"/>
        <item m="1" x="151"/>
        <item m="1" x="7"/>
        <item m="1" x="47"/>
        <item m="1" x="173"/>
        <item m="1" x="147"/>
        <item m="1" x="241"/>
        <item m="1" x="168"/>
        <item m="1" x="76"/>
        <item m="1" x="162"/>
        <item m="1" x="129"/>
        <item m="1" x="25"/>
        <item m="1" x="29"/>
        <item m="1" x="44"/>
        <item m="1" x="108"/>
        <item m="1" x="247"/>
        <item m="1" x="77"/>
        <item m="1" x="145"/>
        <item m="1" x="50"/>
        <item m="1" x="61"/>
        <item m="1" x="125"/>
        <item m="1" x="84"/>
        <item m="1" x="127"/>
        <item m="1" x="167"/>
        <item m="1" x="88"/>
        <item m="1" x="172"/>
        <item m="1" x="64"/>
        <item m="1" x="19"/>
        <item m="1" x="111"/>
        <item m="1" x="146"/>
        <item m="1" x="124"/>
        <item m="1" x="209"/>
        <item m="1" x="48"/>
        <item m="1" x="91"/>
        <item m="1" x="67"/>
        <item m="1" x="23"/>
        <item m="1" x="17"/>
        <item m="1" x="100"/>
        <item m="1" x="96"/>
        <item m="1" x="178"/>
        <item m="1" x="240"/>
        <item m="1" x="65"/>
        <item m="1" x="231"/>
        <item m="1" x="153"/>
        <item m="1" x="66"/>
        <item m="1" x="224"/>
        <item m="1" x="216"/>
        <item m="1" x="228"/>
        <item m="1" x="188"/>
        <item m="1" x="87"/>
        <item m="1" x="250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6" showAll="0"/>
    <pivotField showAll="0" defaultSubtotal="0"/>
    <pivotField dataField="1" numFmtId="166" showAll="0" defaultSubtotal="0"/>
    <pivotField dataField="1" numFmtId="166" showAll="0" defaultSubtotal="0"/>
    <pivotField numFmtId="9" showAll="0" defaultSubtotal="0"/>
    <pivotField showAll="0" defaultSubtotal="0"/>
    <pivotField showAll="0" defaultSubtotal="0"/>
    <pivotField numFmtId="167" showAll="0"/>
    <pivotField numFmtId="166" showAll="0" defaultSubtotal="0"/>
    <pivotField numFmtId="166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7" showAll="0"/>
    <pivotField numFmtId="167" showAll="0"/>
    <pivotField showAll="0"/>
  </pivotFields>
  <rowFields count="3">
    <field x="1"/>
    <field x="0"/>
    <field x="3"/>
  </rowFields>
  <rowItems count="4">
    <i>
      <x v="45"/>
    </i>
    <i r="1">
      <x v="16"/>
    </i>
    <i r="2"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8"/>
    <dataField name="Sum of Bal/PI" fld="15" baseField="0" baseItem="0" numFmtId="168"/>
  </dataFields>
  <formats count="6"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9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9" totalsRowShown="0" headerRowDxfId="33" dataDxfId="32" tableBorderDxfId="31">
  <autoFilter ref="A8:C9"/>
  <tableColumns count="3">
    <tableColumn id="1" name="Proposal_IDs" dataDxfId="27"/>
    <tableColumn id="3" name="misc" dataDxfId="28"/>
    <tableColumn id="2" name="notes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3" tableType="queryTable" totalsRowShown="0">
  <sortState ref="A3:AE3">
    <sortCondition ref="B2:B14"/>
  </sortState>
  <tableColumns count="31">
    <tableColumn id="1" uniqueName="1" name="lead" queryTableFieldId="1" dataDxfId="26"/>
    <tableColumn id="22" uniqueName="22" name="no" queryTableFieldId="49" dataDxfId="29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5"/>
    <tableColumn id="20" uniqueName="20" name="inst_name" queryTableFieldId="20" dataDxfId="24"/>
    <tableColumn id="31" uniqueName="31" name="eJ" queryTableFieldId="53" dataDxfId="23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2" dataCellStyle="Currency"/>
    <tableColumn id="27" uniqueName="27" name="totPIs" queryTableFieldId="34" dataDxfId="21" dataCellStyle="Currency"/>
    <tableColumn id="24" uniqueName="24" name="Balance" queryTableFieldId="24" dataDxfId="20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19" dataCellStyle="Currency">
      <calculatedColumnFormula>AwardTable[[#This Row],[Balance]]/AwardTable[[#This Row],[totPIs]]</calculatedColumnFormula>
    </tableColumn>
    <tableColumn id="16" uniqueName="16" name="$ Spent" queryTableFieldId="45" dataDxfId="18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17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16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5"/>
    <tableColumn id="25" uniqueName="25" name="totOblg_amt" queryTableFieldId="32" dataDxfId="14" dataCellStyle="Currency"/>
    <tableColumn id="26" uniqueName="26" name="totCuml_xpnd_amt" queryTableFieldId="33" dataDxfId="13" dataCellStyle="Currency"/>
    <tableColumn id="29" uniqueName="29" name="last_pymt_date" queryTableFieldId="36" dataDxfId="12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1"/>
    <tableColumn id="13" uniqueName="13" name="awd_eff_date" queryTableFieldId="13" dataDxfId="10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3" tableType="queryTable" insertRow="1" totalsRowShown="0">
  <autoFilter ref="A2:AF3"/>
  <sortState ref="A3:AF3">
    <sortCondition ref="B2:B8"/>
  </sortState>
  <tableColumns count="32">
    <tableColumn id="1" uniqueName="1" name="lead" queryTableFieldId="1" dataDxfId="9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8"/>
    <tableColumn id="20" uniqueName="20" name="inst_name" queryTableFieldId="20" dataDxfId="7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6" dataCellStyle="Comma"/>
    <tableColumn id="36" uniqueName="36" name="numPI" queryTableFieldId="73"/>
    <tableColumn id="37" uniqueName="37" name="rqst/PI" queryTableFieldId="74" dataDxfId="5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4"/>
    <tableColumn id="27" uniqueName="27" name="pm_asgn_date" queryTableFieldId="61" dataDxfId="3"/>
    <tableColumn id="25" uniqueName="25" name="rqst_eff_date" queryTableFieldId="59" dataDxfId="2"/>
    <tableColumn id="26" uniqueName="26" name="rcom_eff_date" queryTableFieldId="60" dataDxfId="1"/>
    <tableColumn id="28" uniqueName="28" name="pm_rcom_date" queryTableFieldId="62" dataDxfId="0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Relationship Id="rId5" Type="http://schemas.openxmlformats.org/officeDocument/2006/relationships/vmlDrawing" Target="../drawings/vmlDrawing1.vml"/><Relationship Id="rId6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 enableFormatConditionsCalculation="0"/>
  <dimension ref="A1:O16"/>
  <sheetViews>
    <sheetView tabSelected="1" workbookViewId="0">
      <selection activeCell="A9" sqref="A9"/>
    </sheetView>
  </sheetViews>
  <sheetFormatPr baseColWidth="10" defaultColWidth="8.83203125" defaultRowHeight="15" x14ac:dyDescent="0.2"/>
  <cols>
    <col min="1" max="1" width="10.6640625" customWidth="1"/>
    <col min="2" max="2" width="5" style="15" customWidth="1"/>
    <col min="3" max="3" width="15.83203125" customWidth="1"/>
    <col min="4" max="4" width="3.83203125" customWidth="1"/>
    <col min="5" max="6" width="3.1640625" style="8" customWidth="1"/>
    <col min="7" max="7" width="13.5" customWidth="1"/>
    <col min="8" max="8" width="8.6640625" customWidth="1"/>
    <col min="9" max="9" width="14" style="14" customWidth="1"/>
    <col min="10" max="10" width="12.6640625" style="14" customWidth="1"/>
    <col min="12" max="12" width="12.33203125" customWidth="1"/>
    <col min="13" max="13" width="6.33203125" customWidth="1"/>
    <col min="14" max="14" width="14.33203125" style="14" customWidth="1"/>
    <col min="15" max="15" width="13.1640625" style="14" customWidth="1"/>
  </cols>
  <sheetData>
    <row r="1" spans="1:15" x14ac:dyDescent="0.2">
      <c r="A1" s="15" t="s">
        <v>116</v>
      </c>
    </row>
    <row r="2" spans="1:15" x14ac:dyDescent="0.2">
      <c r="A2" s="15" t="s">
        <v>23</v>
      </c>
    </row>
    <row r="3" spans="1:15" x14ac:dyDescent="0.2">
      <c r="A3" s="15" t="s">
        <v>81</v>
      </c>
    </row>
    <row r="4" spans="1:15" x14ac:dyDescent="0.2">
      <c r="A4" s="15" t="s">
        <v>24</v>
      </c>
    </row>
    <row r="5" spans="1:15" x14ac:dyDescent="0.2">
      <c r="A5" s="15" t="s">
        <v>82</v>
      </c>
    </row>
    <row r="6" spans="1:15" s="15" customFormat="1" x14ac:dyDescent="0.2">
      <c r="E6" s="8"/>
      <c r="F6" s="8"/>
      <c r="I6" s="24"/>
      <c r="J6" s="24"/>
      <c r="N6" s="24"/>
      <c r="O6" s="24"/>
    </row>
    <row r="7" spans="1:15" x14ac:dyDescent="0.2">
      <c r="B7" s="27" t="s">
        <v>80</v>
      </c>
      <c r="C7" s="27" t="s">
        <v>80</v>
      </c>
    </row>
    <row r="8" spans="1:15" x14ac:dyDescent="0.2">
      <c r="A8" s="37" t="s">
        <v>0</v>
      </c>
      <c r="B8" s="37" t="s">
        <v>79</v>
      </c>
      <c r="C8" s="37" t="s">
        <v>78</v>
      </c>
      <c r="G8" s="6" t="s">
        <v>41</v>
      </c>
      <c r="L8" t="s">
        <v>64</v>
      </c>
    </row>
    <row r="9" spans="1:15" ht="16" x14ac:dyDescent="0.2">
      <c r="A9" s="38"/>
      <c r="B9" s="39"/>
      <c r="C9" s="40"/>
      <c r="D9" s="9"/>
      <c r="E9" s="9"/>
      <c r="F9" s="9"/>
      <c r="G9" t="s">
        <v>42</v>
      </c>
      <c r="H9" s="4"/>
    </row>
    <row r="10" spans="1:15" x14ac:dyDescent="0.2">
      <c r="B10"/>
      <c r="D10" s="9"/>
      <c r="E10" s="9"/>
      <c r="F10" s="9"/>
      <c r="H10" s="5" t="s">
        <v>32</v>
      </c>
    </row>
    <row r="11" spans="1:15" x14ac:dyDescent="0.2">
      <c r="B11"/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</row>
    <row r="12" spans="1:15" x14ac:dyDescent="0.2">
      <c r="B12"/>
      <c r="D12" s="9"/>
      <c r="E12" s="9"/>
      <c r="F12" s="9"/>
      <c r="G12" s="19" t="s">
        <v>114</v>
      </c>
      <c r="H12" s="21"/>
      <c r="I12" s="25"/>
      <c r="J12" s="25"/>
      <c r="L12" s="19" t="s">
        <v>115</v>
      </c>
      <c r="M12" s="21"/>
      <c r="N12" s="25"/>
      <c r="O12" s="25"/>
    </row>
    <row r="13" spans="1:15" x14ac:dyDescent="0.2">
      <c r="B13"/>
      <c r="D13" s="9"/>
      <c r="E13" s="9"/>
      <c r="F13" s="9"/>
      <c r="G13" s="20" t="s">
        <v>103</v>
      </c>
      <c r="H13" s="21">
        <v>1</v>
      </c>
      <c r="I13" s="25">
        <v>49.839999999996508</v>
      </c>
      <c r="J13" s="25">
        <v>24.919999999998254</v>
      </c>
      <c r="L13" s="20" t="s">
        <v>115</v>
      </c>
      <c r="M13" s="21"/>
      <c r="N13" s="25"/>
      <c r="O13" s="25"/>
    </row>
    <row r="14" spans="1:15" x14ac:dyDescent="0.2">
      <c r="B14"/>
      <c r="D14" s="9"/>
      <c r="E14" s="9"/>
      <c r="F14" s="9"/>
      <c r="G14" s="23" t="s">
        <v>105</v>
      </c>
      <c r="H14" s="21">
        <v>1</v>
      </c>
      <c r="I14" s="25">
        <v>49.839999999996508</v>
      </c>
      <c r="J14" s="25">
        <v>24.919999999998254</v>
      </c>
      <c r="L14" s="23" t="s">
        <v>115</v>
      </c>
      <c r="M14" s="21"/>
      <c r="N14" s="25"/>
      <c r="O14" s="25"/>
    </row>
    <row r="15" spans="1:15" x14ac:dyDescent="0.2">
      <c r="B15"/>
      <c r="D15" s="9"/>
      <c r="E15" s="9"/>
      <c r="F15" s="9"/>
      <c r="G15" s="19" t="s">
        <v>20</v>
      </c>
      <c r="H15" s="21">
        <v>1</v>
      </c>
      <c r="I15" s="25">
        <v>49.839999999996508</v>
      </c>
      <c r="J15" s="25">
        <v>24.919999999998254</v>
      </c>
      <c r="L15" s="19" t="s">
        <v>20</v>
      </c>
      <c r="M15" s="21"/>
      <c r="N15" s="25"/>
      <c r="O15" s="25"/>
    </row>
    <row r="16" spans="1:15" x14ac:dyDescent="0.2">
      <c r="B16"/>
      <c r="D16" s="9"/>
      <c r="E16" s="9"/>
      <c r="F16" s="9"/>
      <c r="I16"/>
      <c r="J16"/>
      <c r="N16"/>
      <c r="O16"/>
    </row>
  </sheetData>
  <conditionalFormatting sqref="D9:F9">
    <cfRule type="expression" dxfId="44" priority="13">
      <formula>MOD($L8,2)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139700</xdr:rowOff>
                  </from>
                  <to>
                    <xdr:col>6</xdr:col>
                    <xdr:colOff>660400</xdr:colOff>
                    <xdr:row>7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ards" enableFormatConditionsCalculation="0"/>
  <dimension ref="A1:AE3"/>
  <sheetViews>
    <sheetView topLeftCell="G1" workbookViewId="0">
      <selection activeCell="G3" sqref="G3"/>
    </sheetView>
  </sheetViews>
  <sheetFormatPr baseColWidth="10" defaultColWidth="8.83203125" defaultRowHeight="15" x14ac:dyDescent="0.2"/>
  <cols>
    <col min="2" max="2" width="6.1640625" style="12" customWidth="1"/>
    <col min="4" max="4" width="10.1640625" customWidth="1"/>
    <col min="5" max="5" width="11" customWidth="1"/>
    <col min="6" max="6" width="9.83203125" customWidth="1"/>
    <col min="7" max="7" width="3.1640625" customWidth="1"/>
    <col min="8" max="8" width="10.1640625" customWidth="1"/>
    <col min="9" max="9" width="18.83203125" customWidth="1"/>
    <col min="10" max="10" width="3.33203125" style="15" customWidth="1"/>
    <col min="11" max="11" width="9.83203125" customWidth="1"/>
    <col min="12" max="12" width="19.1640625" customWidth="1"/>
    <col min="13" max="13" width="13.83203125" customWidth="1"/>
    <col min="14" max="14" width="4.1640625" style="1" customWidth="1"/>
    <col min="15" max="15" width="12.83203125" style="4" customWidth="1"/>
    <col min="16" max="16" width="12.83203125" style="1" customWidth="1"/>
    <col min="17" max="17" width="8.33203125" style="1" customWidth="1"/>
    <col min="18" max="18" width="6.6640625" style="11" customWidth="1"/>
    <col min="19" max="19" width="6" style="11" customWidth="1"/>
    <col min="20" max="20" width="10.33203125" style="5" customWidth="1"/>
    <col min="21" max="21" width="11.6640625" style="2" customWidth="1"/>
    <col min="22" max="22" width="11.6640625" style="1" customWidth="1"/>
    <col min="23" max="23" width="10.6640625" style="1" customWidth="1"/>
    <col min="24" max="24" width="3.33203125" style="2" customWidth="1"/>
    <col min="25" max="25" width="8.83203125" style="12"/>
    <col min="26" max="26" width="11" customWidth="1"/>
    <col min="27" max="27" width="7.6640625" customWidth="1"/>
    <col min="28" max="28" width="9.1640625" customWidth="1"/>
    <col min="29" max="29" width="11.83203125" customWidth="1"/>
    <col min="30" max="30" width="11.33203125" customWidth="1"/>
    <col min="31" max="31" width="101.6640625" style="2" customWidth="1"/>
  </cols>
  <sheetData>
    <row r="1" spans="1:31" x14ac:dyDescent="0.2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</row>
    <row r="2" spans="1:31" x14ac:dyDescent="0.2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83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84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</row>
    <row r="3" spans="1:31" x14ac:dyDescent="0.2">
      <c r="A3" s="22" t="s">
        <v>103</v>
      </c>
      <c r="B3" s="15" t="e">
        <f>MATCH(AwardTable[[#This Row],[lead]],Table1[Proposal_IDs],0)</f>
        <v>#N/A</v>
      </c>
      <c r="C3" s="15" t="s">
        <v>104</v>
      </c>
      <c r="D3" s="15" t="s">
        <v>105</v>
      </c>
      <c r="E3" s="15" t="s">
        <v>106</v>
      </c>
      <c r="F3" s="15" t="s">
        <v>107</v>
      </c>
      <c r="G3" s="15" t="s">
        <v>17</v>
      </c>
      <c r="H3" s="16" t="s">
        <v>109</v>
      </c>
      <c r="I3" s="16" t="s">
        <v>108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110</v>
      </c>
      <c r="L3" s="15" t="s">
        <v>108</v>
      </c>
      <c r="M3" s="1">
        <v>199914</v>
      </c>
      <c r="N3" s="5">
        <v>2</v>
      </c>
      <c r="O3" s="1">
        <f>MAX(AwardTable[[#This Row],[tot_intn_awd_amt]],AwardTable[[#This Row],[totOblg_amt]])-AwardTable[[#This Row],[totCuml_xpnd_amt]]</f>
        <v>49.839999999996508</v>
      </c>
      <c r="P3" s="1">
        <f>AwardTable[[#This Row],[Balance]]/AwardTable[[#This Row],[totPIs]]</f>
        <v>24.919999999998254</v>
      </c>
      <c r="Q3" s="10">
        <f xml:space="preserve"> AwardTable[[#This Row],[totCuml_xpnd_amt]]/MAX(AwardTable[[#This Row],[tot_intn_awd_amt]],AwardTable[[#This Row],[totOblg_amt]])</f>
        <v>0.99975069279790307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0.64840182648401823</v>
      </c>
      <c r="S3" s="7" t="str">
        <f>IFERROR(IF( AwardTable[[#This Row],[Time Spent]]-AwardTable[[#This Row],[$ Spent]] &gt; 0.15, "&lt;--",""),"")</f>
        <v/>
      </c>
      <c r="T3" s="17">
        <v>42978</v>
      </c>
      <c r="U3" s="1">
        <v>199914</v>
      </c>
      <c r="V3" s="1">
        <v>199864.16</v>
      </c>
      <c r="W3" s="17">
        <v>42593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110</v>
      </c>
      <c r="Z3" s="15" t="s">
        <v>85</v>
      </c>
      <c r="AA3" s="15" t="s">
        <v>111</v>
      </c>
      <c r="AB3" s="15" t="s">
        <v>112</v>
      </c>
      <c r="AC3" s="17">
        <v>41869.563750000001</v>
      </c>
      <c r="AD3" s="17">
        <v>41883</v>
      </c>
      <c r="AE3" s="15" t="s">
        <v>113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nding" enableFormatConditionsCalculation="0"/>
  <dimension ref="A1:AF3"/>
  <sheetViews>
    <sheetView topLeftCell="Q1" workbookViewId="0">
      <selection activeCell="AA3" sqref="AA3"/>
    </sheetView>
  </sheetViews>
  <sheetFormatPr baseColWidth="10" defaultColWidth="8.83203125" defaultRowHeight="15" x14ac:dyDescent="0.2"/>
  <cols>
    <col min="2" max="2" width="5.33203125" style="12" customWidth="1"/>
    <col min="3" max="3" width="10.1640625" customWidth="1"/>
    <col min="4" max="4" width="11" customWidth="1"/>
    <col min="5" max="5" width="9.83203125" customWidth="1"/>
    <col min="6" max="6" width="22.6640625" customWidth="1"/>
    <col min="7" max="7" width="3.1640625" customWidth="1"/>
    <col min="8" max="8" width="10.1640625" customWidth="1"/>
    <col min="9" max="9" width="18.83203125" customWidth="1"/>
    <col min="10" max="10" width="9.83203125" customWidth="1"/>
    <col min="11" max="11" width="6.83203125" customWidth="1"/>
    <col min="12" max="12" width="13.83203125" style="1" customWidth="1"/>
    <col min="13" max="13" width="3.83203125" style="1" customWidth="1"/>
    <col min="14" max="14" width="10" style="4" customWidth="1"/>
    <col min="15" max="15" width="31" style="1" customWidth="1"/>
    <col min="16" max="16" width="12.83203125" style="1" customWidth="1"/>
    <col min="17" max="17" width="2.33203125" style="11" customWidth="1"/>
    <col min="18" max="18" width="4.33203125" style="11" customWidth="1"/>
    <col min="19" max="19" width="3.33203125" customWidth="1"/>
    <col min="20" max="20" width="12" style="14" customWidth="1"/>
    <col min="21" max="21" width="5.83203125" customWidth="1"/>
    <col min="22" max="22" width="10.83203125" style="14" customWidth="1"/>
    <col min="23" max="24" width="4.83203125" style="11" customWidth="1"/>
    <col min="25" max="25" width="9.1640625" style="11" customWidth="1"/>
    <col min="26" max="29" width="9.83203125" style="3" customWidth="1"/>
    <col min="30" max="30" width="4" customWidth="1"/>
    <col min="31" max="31" width="6" style="3" customWidth="1"/>
    <col min="32" max="32" width="92.1640625" customWidth="1"/>
  </cols>
  <sheetData>
    <row r="1" spans="1:32" x14ac:dyDescent="0.2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</row>
    <row r="2" spans="1:32" x14ac:dyDescent="0.2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</row>
    <row r="3" spans="1:32" x14ac:dyDescent="0.2">
      <c r="A3" s="22"/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26"/>
      <c r="N3" s="15"/>
      <c r="O3" s="15"/>
      <c r="P3" s="15"/>
      <c r="Q3" s="15"/>
      <c r="R3" s="15"/>
      <c r="S3" s="15"/>
      <c r="T3" s="24"/>
      <c r="U3" s="15"/>
      <c r="V3" s="24"/>
      <c r="W3" s="15"/>
      <c r="X3" s="15"/>
      <c r="Y3" s="17"/>
      <c r="Z3" s="17"/>
      <c r="AA3" s="17"/>
      <c r="AB3" s="17"/>
      <c r="AC3" s="17"/>
      <c r="AD3" s="15"/>
      <c r="AE3" s="15"/>
      <c r="AF3" s="1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 enableFormatConditionsCalculation="0"/>
  <dimension ref="A1:C10"/>
  <sheetViews>
    <sheetView workbookViewId="0">
      <selection activeCell="C9" sqref="C9"/>
    </sheetView>
  </sheetViews>
  <sheetFormatPr baseColWidth="10" defaultColWidth="8.83203125" defaultRowHeight="15" x14ac:dyDescent="0.2"/>
  <cols>
    <col min="1" max="1" width="16.83203125" style="29" customWidth="1"/>
    <col min="2" max="2" width="16.33203125" style="29" customWidth="1"/>
    <col min="3" max="3" width="69.83203125" style="29" customWidth="1"/>
    <col min="4" max="16384" width="8.83203125" style="29"/>
  </cols>
  <sheetData>
    <row r="1" spans="1:3" x14ac:dyDescent="0.2">
      <c r="A1" s="29" t="s">
        <v>86</v>
      </c>
    </row>
    <row r="2" spans="1:3" x14ac:dyDescent="0.2">
      <c r="A2" s="30" t="s">
        <v>87</v>
      </c>
      <c r="B2" s="29" t="s">
        <v>88</v>
      </c>
    </row>
    <row r="3" spans="1:3" x14ac:dyDescent="0.2">
      <c r="A3" s="30" t="s">
        <v>89</v>
      </c>
      <c r="B3" s="31"/>
    </row>
    <row r="4" spans="1:3" x14ac:dyDescent="0.2">
      <c r="A4" s="30" t="s">
        <v>90</v>
      </c>
      <c r="B4" s="29" t="s">
        <v>101</v>
      </c>
    </row>
    <row r="5" spans="1:3" x14ac:dyDescent="0.2">
      <c r="A5" s="30" t="s">
        <v>91</v>
      </c>
      <c r="B5" s="41" t="s">
        <v>102</v>
      </c>
    </row>
    <row r="7" spans="1:3" x14ac:dyDescent="0.2">
      <c r="A7" s="32" t="s">
        <v>92</v>
      </c>
      <c r="B7" s="33" t="s">
        <v>93</v>
      </c>
      <c r="C7" s="34" t="s">
        <v>94</v>
      </c>
    </row>
    <row r="8" spans="1:3" ht="105" x14ac:dyDescent="0.2">
      <c r="A8" s="29" t="s">
        <v>95</v>
      </c>
      <c r="B8" s="35">
        <v>43063.567962962959</v>
      </c>
      <c r="C8" s="36" t="s">
        <v>96</v>
      </c>
    </row>
    <row r="9" spans="1:3" ht="409" x14ac:dyDescent="0.2">
      <c r="A9" s="29" t="s">
        <v>97</v>
      </c>
      <c r="B9" s="35">
        <v>43063.567962962959</v>
      </c>
      <c r="C9" s="36" t="s">
        <v>98</v>
      </c>
    </row>
    <row r="10" spans="1:3" ht="409" x14ac:dyDescent="0.2">
      <c r="A10" s="29" t="s">
        <v>99</v>
      </c>
      <c r="B10" s="35">
        <v>43063.567962962959</v>
      </c>
      <c r="C10" s="36" t="s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C1E7CE-851C-4FB6-8844-372B31F0DE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Awards</vt:lpstr>
      <vt:lpstr>Pending</vt:lpstr>
      <vt:lpstr>HiddenSettings</vt:lpstr>
    </vt:vector>
  </TitlesOfParts>
  <Company>National Science Foundation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Microsoft Office User</cp:lastModifiedBy>
  <dcterms:created xsi:type="dcterms:W3CDTF">2015-11-09T16:20:06Z</dcterms:created>
  <dcterms:modified xsi:type="dcterms:W3CDTF">2017-11-27T17:53:22Z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