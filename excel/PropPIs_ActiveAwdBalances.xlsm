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excel\"/>
    </mc:Choice>
  </mc:AlternateContent>
  <bookViews>
    <workbookView minimized="1" xWindow="0" yWindow="0" windowWidth="15994" windowHeight="6343" activeTab="3"/>
  </bookViews>
  <sheets>
    <sheet name="Dashboard" sheetId="1" r:id="rId1"/>
    <sheet name="Awards" sheetId="2" r:id="rId2"/>
    <sheet name="Pending" sheetId="4" r:id="rId3"/>
    <sheet name="HiddenSettings" sheetId="5" r:id="rId4"/>
  </sheets>
  <definedNames>
    <definedName name="Mac_connect_string" comment="report server connection string for openlink on mac">HiddenSettings!$B$5</definedName>
    <definedName name="PC_connect_string" comment="report server connection string in windows">HiddenSettings!$B$4</definedName>
    <definedName name="proppiAwd" localSheetId="3">HiddenSettings!$C$9</definedName>
    <definedName name="proppiPend" localSheetId="3">HiddenSettings!$C$10</definedName>
    <definedName name="proppiProps" localSheetId="3">HiddenSettings!$C$8</definedName>
    <definedName name="Query_from_RPTSERVER" localSheetId="1" hidden="1">Awards!$A$2:$AE$3</definedName>
    <definedName name="Query_from_RPTSERVER" localSheetId="2" hidden="1">Pending!$A$2:$AF$3</definedName>
    <definedName name="rpt_pwd" comment="reportserver password" localSheetId="3">HiddenSettings!$B$3</definedName>
    <definedName name="user_id" comment="reportserver user_id" localSheetId="3">HiddenSettings!$B$2</definedName>
  </definedNames>
  <calcPr calcId="171027"/>
  <pivotCaches>
    <pivotCache cacheId="1" r:id="rId5"/>
    <pivotCache cacheId="2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J3" i="2"/>
  <c r="O3" i="2"/>
  <c r="P3" i="2"/>
  <c r="Q3" i="2"/>
  <c r="R3" i="2"/>
  <c r="S3" i="2"/>
  <c r="X3" i="2"/>
</calcChain>
</file>

<file path=xl/connections.xml><?xml version="1.0" encoding="utf-8"?>
<connections xmlns="http://schemas.openxmlformats.org/spreadsheetml/2006/main">
  <connection id="1" odcFile="C:\Users\JSNOEYIN\excelSQL\common\AwardQuery.odc" name="AwardQuery" type="1" refreshedVersion="6" background="1" saveData="1">
    <dbPr connection="dsn=RPTSERVER;database=FLflpdb;server=RPTSQL.nsf.gov;port=5000;UID=ccfuser;;" command="SET NOCOUNT ON _x000d__x000a_SELECT isnull(lead_prop_id,prop.prop_id) AS 'lead', prop.prop_id, prop.pi_id _x000d__x000a_INTO #myProps_x000d__x000a_FROM csd.prop prop_x000d__x000a_WHERE prop.prop_id In ('1111111','1234567','1749678','1749385','1750127','1750076','1751047','1749563','1751254','1749414','1749734') _x000d__x000a_OR prop.lead_prop_id In ('1111111','1234567','1749678','1749385','1750127','1750076','1751047','1749563','1751254','1749414','1749734') _x000d__x000a_SELECT PIs.lead, PIs.prop_id, PIs.pi_id, awd.awd_id, awd_pi_copi.proj_role_code_x000d__x000a_INTO #myAwds _x000d__x000a_FROM (SELECT * FROM #myProps_x000d__x000a_ UNION SELECT prop.lead, prop.prop_id, addl_pi_invl.pi_id_x000d__x000a_ FROM csd.addl_pi_invl addl_pi_invl, #myProps prop_x000d__x000a_WHERE prop.prop_id = addl_pi_invl.prop_id) PIs, _x000d__x000a_csd.awd awd, csd.awd_pi_copi awd_pi_copi _x000d__x000a_WHERE awd_pi_copi.awd_id = awd.awd_id  AND (awd.awd_stts_code='80') AND (PIs.pi_id = awd_pi_copi.pi_id) AND awd_pi_copi.end_date IS NULL _x000d__x000a_SELECT DISTINCT #myAwds.awd_id INTO #myDistAwds FROM #myAwds_x000d__x000a_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_x000d__x000a_FROM #myAwds a, _x000d__x000a_ (SELECT awd1.awd_id, Count(DISTINCT awd_pi_copi1.pi_id) AS 'totPIs'_x000d__x000a_  FROM #myDistAwds awd1, csd.awd_pi_copi awd_pi_copi1 _x000d__x000a_  WHERE awd1.awd_id = awd_pi_copi1.awd_id AND (awd_pi_copi1.end_date Is Null) _x000d__x000a_  GROUP BY awd1.awd_id) tPI, _x000d__x000a_ (SELECT awd2.awd_id, Sum(oblg_bal.oblg_amt) AS 'totOblg_amt', Sum(oblg_bal.cuml_xpnd_amt) AS 'totCuml_xpnd_amt', Max(oblg_bal.last_pymt_date) AS 'last_pymt_date' _x000d__x000a_  FROM #myDistAwds awd2, csd.oblg_bal oblg_bal _x000d__x000a_  WHERE awd2.awd_id = oblg_bal.oblg_id  _x000d__x000a_  GROUP BY awd2.awd_id) ob, _x000d__x000a_csd.awd awd, csd.inst inst, csd.pi_vw pi_vw, csd.inst instaw _x000d__x000a_WHERE a.awd_id=awd.awd_id AND a.awd_id=ob.awd_id AND a.awd_id=tPI.awd_id AND a.pi_id = pi_vw.pi_id AND awd.inst_id = instaw.inst_id  AND pi_vw.inst_id = inst.inst_id _x000d__x000a_ORDER BY a.lead, a.prop_id, pi_vw.pi_last_name, pi_vw.pi_frst_name, a.pi_id, awd.awd_exp_date _x000d__x000a_DROP TABLE #myProps _x000d__x000a_DROP TABLE #myAwds _x000d__x000a_DROP TABLE #myDistAwds"/>
  </connection>
  <connection id="2" name="PendingQuery" type="1" refreshedVersion="6" background="1" saveData="1">
    <dbPr connection="dsn=RPTSERVER;database=FLflpdb;server=RPTSQL.nsf.gov;port=5000;UID=ccfuser;" command="SET NOCOUNT ON _x000d__x000a_SELECT isnull(lead_prop_id,prop.prop_id) AS 'lead', prop.prop_id, prop.pi_id _x000d__x000a_INTO #myProps_x000d__x000a_FROM csd.prop prop_x000d__x000a_WHERE prop.prop_id = ''_x000d__x000a_OR prop.lead_prop_id = ''_x000d__x000a_SELECT * INTO #myPIs FROM #myProps_x000d__x000a_ UNION SELECT prop.lead, prop.prop_id, addl_pi_invl.pi_id _x000d__x000a_ FROM csd.addl_pi_invl addl_pi_invl, #myProps prop_x000d__x000a_ WHERE prop.prop_id = addl_pi_invl.prop_id_x000d__x000a_SELECT PIs.lead, PIs.prop_id, PIs.pi_id, '1' as 'proj_role_code', prop.prop_id AS pend_id_x000d__x000a_INTO #myPend FROM #myPIs PIs, csd.prop prop_x000d__x000a_WHERE (prop.pi_id = PIs.pi_id) AND prop.prop_stts_code IN ('00','01','02','03','06','40') AND prop.prop_id &lt;&gt; PIs.prop_id_x000d__x000a_UNION SELECT PIs.lead, PIs.prop_id, PIs.pi_id, addl_pi_invl.proj_role_code, addl_pi_invl.prop_id AS pend_id_x000d__x000a_FROM #myPIs PIs, csd.prop prop, csd.addl_pi_invl addl_pi_invl_x000d__x000a_WHERE addl_pi_invl.pi_id = PIs.pi_id AND addl_pi_invl.prop_id = prop.prop_id AND prop.prop_stts_code IN ('00','01','02','03','06','40') AND addl_pi_invl.prop_id &lt;&gt; PIs.prop_id_x000d__x000a_SELECT a.lead, a.prop_id, pi_vw.pi_last_name, pi_vw.pi_frst_name, pi_vw.pi_emai_addr, inst.inst_name, a.pi_id, a.proj_role_code,_x000d__x000a_a.pend_id, prop_stts.prop_stts_txt, pps.panl_id, pr.rcom_seq_num, pr.rcom_abbr,_x000d__x000a_prop.rqst_dol, prop.rqst_mnth_cnt, nullif(prop.rcom_mnth_cnt,0) AS 'rcom_mnth_cnt', nullif(prop.rcom_awd_istr,'0') AS 'rcom_awd_istr',_x000d__x000a_prop.rqst_eff_date, nullif(prop.rcom_eff_date,'1900-01-01') AS 'rcom_eff_date', nullif(prop.pm_asgn_date,'1900-01-01') AS pm_asgn_date,_x000d__x000a_nullif(prop.pm_rcom_date,'1900-01-01') AS  pm_rcom_date,_x000d__x000a_prop.nsf_rcvd_date, prop.org_code, prop.pgm_ele_code, prop.pm_ibm_logn_id, prop.prop_stts_code, prop_stts.prop_stts_abbr,_x000d__x000a_(SELECT 1+COUNT(*) FROM csd.addl_pi_invl api  WHERE a.pend_id = api.prop_id) AS numPI, prop.prop_titl_txt_x000d__x000a_FROM #myPend a, csd.prop prop, csd.pi_vw pi_vw, csd.inst inst, csd.prop_stts prop_stts, flflpdb.flp.panl_prop_summ pps, flflpdb.flp.panl_rcom_def pr_x000d__x000a_WHERE a.pi_id = pi_vw.pi_id AND a.pend_id = prop.prop_id AND pi_vw.prim_addr_flag = 'Y' AND prop.inst_id = inst.inst_id AND prop.prop_stts_code = prop_stts.prop_stts_code_x000d__x000a_ AND a.pend_id *= pps.prop_id AND pps.panl_id *= pr.panl_id AND pps.rcom_seq_num *= pr.rcom_seq_num_x000d__x000a_ORDER BY a.lead, a.prop_id, pi_vw.pi_last_name, pi_vw.pi_frst_name, a.pi_id, prop.rqst_dol DESC_x000d__x000a_DROP TABLE #myPend DROP TABLE #myProps DROP TABLE #myPIs"/>
  </connection>
</connections>
</file>

<file path=xl/sharedStrings.xml><?xml version="1.0" encoding="utf-8"?>
<sst xmlns="http://schemas.openxmlformats.org/spreadsheetml/2006/main" count="151" uniqueCount="125">
  <si>
    <t>Proposal_IDs</t>
  </si>
  <si>
    <t>lead</t>
  </si>
  <si>
    <t>prop_id</t>
  </si>
  <si>
    <t>pi_id</t>
  </si>
  <si>
    <t>pi_last_name</t>
  </si>
  <si>
    <t>pi_frst_name</t>
  </si>
  <si>
    <t>awd_id</t>
  </si>
  <si>
    <t>tot_intn_awd_amt</t>
  </si>
  <si>
    <t>last_prop_id</t>
  </si>
  <si>
    <t>org_code</t>
  </si>
  <si>
    <t>pgm_ele_code</t>
  </si>
  <si>
    <t>pm_ibm_logn_id</t>
  </si>
  <si>
    <t>awd_stts_date</t>
  </si>
  <si>
    <t>awd_eff_date</t>
  </si>
  <si>
    <t>awd_exp_date</t>
  </si>
  <si>
    <t>proj_role_code</t>
  </si>
  <si>
    <t>awd_titl_txt</t>
  </si>
  <si>
    <t>1</t>
  </si>
  <si>
    <t>inst_name</t>
  </si>
  <si>
    <t>Row Labels</t>
  </si>
  <si>
    <t>Grand Total</t>
  </si>
  <si>
    <t>Balance</t>
  </si>
  <si>
    <t>Sum of Balance</t>
  </si>
  <si>
    <t>This spreadsheet does an approximation of PI Award Queries for all Personnel listed on cover sheets for the proposals listed.  (If you list a lead, it pulls collabs, too.)</t>
  </si>
  <si>
    <t>It is meant as a time-saver and to open discussions with Pis.  Don't rely on this data alone, as Pis may enter/leave projects, or receive various amounts.</t>
  </si>
  <si>
    <t>totOblg_amt</t>
  </si>
  <si>
    <t>totCuml_xpnd_amt</t>
  </si>
  <si>
    <t>totPIs</t>
  </si>
  <si>
    <t>last_pymt_date</t>
  </si>
  <si>
    <t>inst_name2</t>
  </si>
  <si>
    <t>Bal/PI</t>
  </si>
  <si>
    <t>Sum of Bal/PI</t>
  </si>
  <si>
    <t>By default, all Pis listed under lead: can adjust by including prop_id as row label before pi last name</t>
  </si>
  <si>
    <t>Pi information</t>
  </si>
  <si>
    <t>Proposal info</t>
  </si>
  <si>
    <t>#pis on award</t>
  </si>
  <si>
    <t>expiration</t>
  </si>
  <si>
    <t>expenditures</t>
  </si>
  <si>
    <t>award source</t>
  </si>
  <si>
    <t>Active Award info</t>
  </si>
  <si>
    <t>2=co-pi on award</t>
  </si>
  <si>
    <t>&lt;== List proposal ids in table (leads suffice) and click [PI AwdOblg] button</t>
  </si>
  <si>
    <t>Questions to Jack Snoeyink</t>
  </si>
  <si>
    <t>fraction spent</t>
  </si>
  <si>
    <t>$ Spent</t>
  </si>
  <si>
    <t>Time Spent</t>
  </si>
  <si>
    <t>check</t>
  </si>
  <si>
    <t>pi_emai_addr</t>
  </si>
  <si>
    <t>no</t>
  </si>
  <si>
    <t>pend_id</t>
  </si>
  <si>
    <t>prop_stts_txt</t>
  </si>
  <si>
    <t>panl_id</t>
  </si>
  <si>
    <t>rcom_seq_num</t>
  </si>
  <si>
    <t>rcom_abbr</t>
  </si>
  <si>
    <t>rqst_mnth_cnt</t>
  </si>
  <si>
    <t>rcom_mnth_cnt</t>
  </si>
  <si>
    <t>rqst_eff_date</t>
  </si>
  <si>
    <t>rcom_eff_date</t>
  </si>
  <si>
    <t>pm_asgn_date</t>
  </si>
  <si>
    <t>pm_rcom_date</t>
  </si>
  <si>
    <t>nsf_rcvd_date</t>
  </si>
  <si>
    <t>prop_stts_code</t>
  </si>
  <si>
    <t>prop_stts_abbr</t>
  </si>
  <si>
    <t>prop_titl_txt</t>
  </si>
  <si>
    <t>Number of other proposals Pending or Recommended for Award</t>
  </si>
  <si>
    <t>rqst_dol</t>
  </si>
  <si>
    <t>rcom_awd_istr</t>
  </si>
  <si>
    <t>Sum of rqst_dol</t>
  </si>
  <si>
    <t>panel results</t>
  </si>
  <si>
    <t>2=co-pi on proposal</t>
  </si>
  <si>
    <t xml:space="preserve">proposal info </t>
  </si>
  <si>
    <t>status</t>
  </si>
  <si>
    <t>numPI</t>
  </si>
  <si>
    <t>rqst/PI</t>
  </si>
  <si>
    <t>Sum of rqst/PI</t>
  </si>
  <si>
    <t># pend</t>
  </si>
  <si>
    <t># act Awd</t>
  </si>
  <si>
    <t>ej</t>
  </si>
  <si>
    <t>notes</t>
  </si>
  <si>
    <t>misc</t>
  </si>
  <si>
    <t>1189</t>
  </si>
  <si>
    <t>optional</t>
  </si>
  <si>
    <r>
      <rPr>
        <sz val="11"/>
        <color rgb="FFC00000"/>
        <rFont val="Calibri"/>
        <family val="2"/>
        <scheme val="minor"/>
      </rPr>
      <t>Enable macros</t>
    </r>
    <r>
      <rPr>
        <sz val="11"/>
        <color theme="1"/>
        <rFont val="Calibri"/>
        <family val="2"/>
        <scheme val="minor"/>
      </rPr>
      <t xml:space="preserve"> &amp; </t>
    </r>
    <r>
      <rPr>
        <sz val="11"/>
        <color rgb="FFC00000"/>
        <rFont val="Calibri"/>
        <family val="2"/>
        <scheme val="minor"/>
      </rPr>
      <t>Enable content</t>
    </r>
    <r>
      <rPr>
        <sz val="11"/>
        <color theme="1"/>
        <rFont val="Calibri"/>
        <family val="2"/>
        <scheme val="minor"/>
      </rPr>
      <t xml:space="preserve"> for this to work.  You will need a RPTserver id and password that you enter TWICE.    </t>
    </r>
  </si>
  <si>
    <t>Raw data for Awards and for Pending proposals are found on those tabs; the two pivot tables here are summaries.</t>
  </si>
  <si>
    <t>Use amounts per PI  to avoid double counting. You may edit Awards/Pending to (temporarily) remove data errors,  then Right click&gt;Refresh on these pivot tables.</t>
  </si>
  <si>
    <t>eJ</t>
  </si>
  <si>
    <t>ej2</t>
  </si>
  <si>
    <t>#N/A</t>
  </si>
  <si>
    <t xml:space="preserve"> </t>
  </si>
  <si>
    <t>1502544</t>
  </si>
  <si>
    <t>Marenco</t>
  </si>
  <si>
    <t>Pedro</t>
  </si>
  <si>
    <t>pmarenco@brynmawr.edu</t>
  </si>
  <si>
    <t>Bryn Mawr College</t>
  </si>
  <si>
    <t>269831332</t>
  </si>
  <si>
    <t>1428975</t>
  </si>
  <si>
    <t>06030000</t>
  </si>
  <si>
    <t>DLAMBER</t>
  </si>
  <si>
    <t>MRI:   Stable isotope analyses in a liberal arts college setting: teaching and research opportunities for undergraduates and faculty</t>
  </si>
  <si>
    <t>(blank)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</si>
  <si>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</si>
  <si>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</si>
  <si>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</si>
  <si>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</si>
  <si>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</si>
  <si>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dsn=RPTSERVER;database=FLflpdb;server=RPTSQL.nsf.gov;port=5000;</t>
  </si>
  <si>
    <t>Mac connect string:</t>
  </si>
  <si>
    <t>name</t>
  </si>
  <si>
    <t>updated</t>
  </si>
  <si>
    <t>sql</t>
  </si>
  <si>
    <t>1749678</t>
  </si>
  <si>
    <t>1749385</t>
  </si>
  <si>
    <t>1750127</t>
  </si>
  <si>
    <t>1750076</t>
  </si>
  <si>
    <t>1751047</t>
  </si>
  <si>
    <t>1749563</t>
  </si>
  <si>
    <t>1751254</t>
  </si>
  <si>
    <t>1749414</t>
  </si>
  <si>
    <t>1749734</t>
  </si>
  <si>
    <t>proppiProps</t>
  </si>
  <si>
    <t xml:space="preserve">SELECT isnull(lead_prop_id,prop.prop_id) AS 'lead', prop.prop_id, prop.pi_id _x000D_
INTO #myProps_x000D_
FROM csd.prop prop_x000D_
</t>
  </si>
  <si>
    <t>proppiAwd</t>
  </si>
  <si>
    <t xml:space="preserve">SELECT PIs.lead, PIs.prop_id, PIs.pi_id, awd.awd_id, awd_pi_copi.proj_role_code_x000D_
INTO #myAwds _x000D_
FROM (SELECT * FROM #myProps_x000D_
 UNION SELECT prop.lead, prop.prop_id, addl_pi_invl.pi_id_x000D_
 FROM csd.addl_pi_invl addl_pi_invl, #myProps prop_x000D_
WHERE prop.prop_id = addl_pi_invl.prop_id) PIs, _x000D_
csd.awd awd, csd.awd_pi_copi awd_pi_copi _x000D_
WHERE awd_pi_copi.awd_id = awd.awd_id  AND (awd.awd_stts_code='80') AND (PIs.pi_id = awd_pi_copi.pi_id) AND awd_pi_copi.end_date IS NULL _x000D_
SELECT DISTINCT #myAwds.awd_id INTO #myDistAwds FROM #myAwds_x000D_
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_x000D_
FROM #myAwds a, _x000D_
 (SELECT awd1.awd_id, Count(DISTINCT awd_pi_copi1.pi_id) AS 'totPIs'_x000D_
  FROM #myDistAwds awd1, csd.awd_pi_copi awd_pi_copi1 _x000D_
  WHERE awd1.awd_id = awd_pi_copi1.awd_id AND (awd_pi_copi1.end_date Is Null) _x000D_
  GROUP BY awd1.awd_id) tPI, _x000D_
 (SELECT awd2.awd_id, Sum(oblg_bal.oblg_amt) AS 'totOblg_amt', Sum(oblg_bal.cuml_xpnd_amt) AS 'totCuml_xpnd_amt', Max(oblg_bal.last_pymt_date) AS 'last_pymt_date' _x000D_
  FROM #myDistAwds awd2, csd.oblg_bal oblg_bal _x000D_
  WHERE awd2.awd_id = oblg_bal.oblg_id  _x000D_
  GROUP BY awd2.awd_id) ob, _x000D_
csd.awd awd, csd.inst inst, csd.pi_vw pi_vw, csd.inst instaw _x000D_
WHERE a.awd_id=awd.awd_id AND a.awd_id=ob.awd_id AND a.awd_id=tPI.awd_id AND a.pi_id = pi_vw.pi_id AND awd.inst_id = instaw.inst_id  AND pi_vw.inst_id = inst.inst_id _x000D_
ORDER BY a.lead, a.prop_id, pi_vw.pi_last_name, pi_vw.pi_frst_name, a.pi_id, awd.awd_exp_date _x000D_
DROP TABLE #myAwds,#myDistAwds _x000D_
--DROP TABLE #myProps_x000D_
</t>
  </si>
  <si>
    <t>proppiPend</t>
  </si>
  <si>
    <t xml:space="preserve">SELECT * INTO #myPIs FROM #myProps_x000D_
 UNION SELECT prop.lead, prop.prop_id, addl_pi_invl.pi_id _x000D_
 FROM csd.addl_pi_invl addl_pi_invl, #myProps prop_x000D_
 WHERE prop.prop_id = addl_pi_invl.prop_id_x000D_
SELECT PIs.lead, PIs.prop_id, PIs.pi_id, '1' as 'proj_role_code', prop.prop_id AS pend_id_x000D_
INTO #myPend FROM #myPIs PIs, csd.prop prop_x000D_
WHERE (prop.pi_id = PIs.pi_id) AND prop.prop_stts_code IN ('00','01','02','03','06','40') AND prop.prop_id &lt;&gt; PIs.prop_id_x000D_
UNION SELECT PIs.lead, PIs.prop_id, PIs.pi_id, addl_pi_invl.proj_role_code, addl_pi_invl.prop_id AS pend_id_x000D_
FROM #myPIs PIs, csd.prop prop, csd.addl_pi_invl addl_pi_invl_x000D_
WHERE addl_pi_invl.pi_id = PIs.pi_id AND addl_pi_invl.prop_id = prop.prop_id AND prop.prop_stts_code IN ('00','01','02','03','06','40') AND addl_pi_invl.prop_id &lt;&gt; PIs.prop_id_x000D_
SELECT a.lead, a.prop_id, pi_vw.pi_last_name, pi_vw.pi_frst_name, pi_vw.pi_emai_addr, inst.inst_name, a.pi_id, a.proj_role_code,_x000D_
a.pend_id, prop_stts.prop_stts_txt, pps.panl_id, pr.rcom_seq_num, pr.rcom_abbr,_x000D_
prop.rqst_dol, prop.rqst_mnth_cnt, nullif(prop.rcom_mnth_cnt,0) AS 'rcom_mnth_cnt', nullif(prop.rcom_awd_istr,'0') AS 'rcom_awd_istr',_x000D_
prop.rqst_eff_date, nullif(prop.rcom_eff_date,'1900-01-01') AS 'rcom_eff_date', nullif(prop.pm_asgn_date,'1900-01-01') AS pm_asgn_date,_x000D_
nullif(prop.pm_rcom_date,'1900-01-01') AS  pm_rcom_date,_x000D_
prop.nsf_rcvd_date, prop.org_code, prop.pgm_ele_code, prop.pm_ibm_logn_id, prop.prop_stts_code, prop_stts.prop_stts_abbr,_x000D_
(SELECT 1+COUNT(*) FROM csd.addl_pi_invl api  WHERE a.pend_id = api.prop_id) AS numPI, prop.prop_titl_txt_x000D_
FROM #myPend a, csd.prop prop, csd.pi_vw pi_vw, csd.inst inst, csd.prop_stts prop_stts, flflpdb.flp.panl_prop_summ pps, flflpdb.flp.panl_rcom_def pr_x000D_
WHERE a.pi_id = pi_vw.pi_id AND a.pend_id = prop.prop_id AND pi_vw.prim_addr_flag = 'Y' AND prop.inst_id = inst.inst_id AND prop.prop_stts_code = prop_stts.prop_stts_code_x000D_
 AND a.pend_id *= pps.prop_id AND pps.panl_id *= pr.panl_id AND pps.rcom_seq_num *= pr.rcom_seq_num_x000D_
ORDER BY a.lead, a.prop_id, pi_vw.pi_last_name, pi_vw.pi_frst_name, a.pi_id, prop.rqst_dol DESC_x000D_
DROP TABLE #myPend, #myProps,#myPIs_x000D_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</si>
</sst>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mm/dd/yy;@"/>
    <numFmt numFmtId="166" formatCode="_(* #,##0_);_(* \(#,##0\);_(* &quot;-&quot;??_);_(@_)"/>
    <numFmt numFmtId="167" formatCode=";;;**********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4">
    <xf numFmtId="0" fontId="0" fillId="0" borderId="0" xfId="0"/>
    <xf numFmtId="164" fontId="0" fillId="0" borderId="0" xfId="1" applyNumberFormat="1" applyFont="1"/>
    <xf numFmtId="165" fontId="0" fillId="0" borderId="0" xfId="0" applyNumberFormat="1"/>
    <xf numFmtId="165" fontId="0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Font="1"/>
    <xf numFmtId="0" fontId="0" fillId="0" borderId="0" xfId="2" applyNumberFormat="1" applyFont="1"/>
    <xf numFmtId="0" fontId="0" fillId="0" borderId="0" xfId="0" applyFill="1"/>
    <xf numFmtId="0" fontId="0" fillId="0" borderId="0" xfId="0" applyFont="1" applyFill="1" applyBorder="1"/>
    <xf numFmtId="9" fontId="0" fillId="0" borderId="0" xfId="2" applyNumberFormat="1" applyFont="1"/>
    <xf numFmtId="9" fontId="0" fillId="0" borderId="0" xfId="1" applyNumberFormat="1" applyFont="1"/>
    <xf numFmtId="49" fontId="0" fillId="0" borderId="0" xfId="0" applyNumberFormat="1"/>
    <xf numFmtId="165" fontId="0" fillId="0" borderId="0" xfId="2" applyNumberFormat="1" applyFont="1"/>
    <xf numFmtId="166" fontId="0" fillId="0" borderId="0" xfId="3" applyNumberFormat="1" applyFont="1"/>
    <xf numFmtId="0" fontId="0" fillId="0" borderId="0" xfId="0"/>
    <xf numFmtId="22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indent="2"/>
    </xf>
    <xf numFmtId="166" fontId="0" fillId="0" borderId="0" xfId="3" applyNumberFormat="1" applyFont="1"/>
    <xf numFmtId="166" fontId="0" fillId="0" borderId="0" xfId="0" applyNumberFormat="1"/>
    <xf numFmtId="0" fontId="4" fillId="0" borderId="0" xfId="4"/>
    <xf numFmtId="0" fontId="5" fillId="0" borderId="0" xfId="0" applyFont="1"/>
    <xf numFmtId="22" fontId="4" fillId="0" borderId="0" xfId="4" applyNumberFormat="1"/>
    <xf numFmtId="0" fontId="6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Protection="1">
      <protection locked="0" hidden="1"/>
    </xf>
    <xf numFmtId="0" fontId="7" fillId="2" borderId="4" xfId="0" applyFont="1" applyFill="1" applyBorder="1"/>
    <xf numFmtId="0" fontId="7" fillId="2" borderId="5" xfId="0" applyFont="1" applyFill="1" applyBorder="1"/>
    <xf numFmtId="0" fontId="7" fillId="2" borderId="6" xfId="0" applyFont="1" applyFill="1" applyBorder="1"/>
    <xf numFmtId="0" fontId="0" fillId="0" borderId="1" xfId="0" applyFont="1" applyFill="1" applyBorder="1"/>
    <xf numFmtId="0" fontId="0" fillId="0" borderId="0" xfId="0" applyNumberFormat="1" applyFill="1"/>
    <xf numFmtId="0" fontId="0" fillId="0" borderId="2" xfId="0" applyFont="1" applyFill="1" applyBorder="1"/>
    <xf numFmtId="0" fontId="0" fillId="0" borderId="7" xfId="0" applyFont="1" applyFill="1" applyBorder="1"/>
    <xf numFmtId="0" fontId="0" fillId="0" borderId="0" xfId="0" applyNumberFormat="1" applyFill="1" applyBorder="1"/>
    <xf numFmtId="0" fontId="0" fillId="0" borderId="3" xfId="0" applyFont="1" applyFill="1" applyBorder="1"/>
    <xf numFmtId="22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</cellXfs>
  <cellStyles count="5">
    <cellStyle name="Comma" xfId="3" builtinId="3"/>
    <cellStyle name="Currency" xfId="1" builtinId="4"/>
    <cellStyle name="Hyperlink" xfId="4" builtinId="8"/>
    <cellStyle name="Normal" xfId="0" builtinId="0"/>
    <cellStyle name="Percent" xfId="2" builtinId="5"/>
  </cellStyles>
  <dxfs count="45">
    <dxf>
      <numFmt numFmtId="165" formatCode="mm/dd/yy;@"/>
    </dxf>
    <dxf>
      <numFmt numFmtId="165" formatCode="mm/dd/yy;@"/>
    </dxf>
    <dxf>
      <numFmt numFmtId="165" formatCode="mm/dd/yy;@"/>
    </dxf>
    <dxf>
      <numFmt numFmtId="165" formatCode="mm/dd/yy;@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??_);_(@_)"/>
    </dxf>
    <dxf>
      <numFmt numFmtId="27" formatCode="m/d/yyyy\ h:mm"/>
    </dxf>
    <dxf>
      <numFmt numFmtId="27" formatCode="m/d/yyyy\ h:mm"/>
    </dxf>
    <dxf>
      <numFmt numFmtId="30" formatCode="@"/>
    </dxf>
    <dxf>
      <numFmt numFmtId="165" formatCode="mm/dd/yy;@"/>
    </dxf>
    <dxf>
      <numFmt numFmtId="165" formatCode="mm/dd/yy;@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fill>
        <patternFill>
          <bgColor rgb="FFFFF4E6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141514</xdr:rowOff>
        </xdr:from>
        <xdr:to>
          <xdr:col>6</xdr:col>
          <xdr:colOff>658586</xdr:colOff>
          <xdr:row>6</xdr:row>
          <xdr:rowOff>179614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 AwdOblg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noeyink, Jack S." refreshedDate="42873.391126504626" createdVersion="5" refreshedVersion="6" minRefreshableVersion="3" recordCount="1">
  <cacheSource type="worksheet">
    <worksheetSource name="PendingTable"/>
  </cacheSource>
  <cacheFields count="32">
    <cacheField name="lead" numFmtId="49">
      <sharedItems containsNonDate="0" containsBlank="1" count="56">
        <m/>
        <s v="1637407" u="1"/>
        <s v="1740888" u="1"/>
        <s v="1703925" u="1"/>
        <s v="1637454" u="1"/>
        <s v="1637566" u="1"/>
        <s v="1733803" u="1"/>
        <s v="1637539" u="1"/>
        <s v="1637418" u="1"/>
        <s v="1724132" u="1"/>
        <s v="1703374" u="1"/>
        <s v="1703861" u="1"/>
        <s v="1637307" u="1"/>
        <s v="1637559" u="1"/>
        <s v="1641276" u="1"/>
        <s v="1724227" u="1"/>
        <s v="1704864" u="1"/>
        <s v="1704238" u="1"/>
        <s v="1704510" u="1"/>
        <s v="1704257" u="1"/>
        <s v="1733834" u="1"/>
        <s v="1637598" u="1"/>
        <s v="1705091" u="1"/>
        <s v="1637385" u="1"/>
        <s v="1703996" u="1"/>
        <s v="1733837" u="1"/>
        <s v="1733874" u="1"/>
        <s v="1704046" u="1"/>
        <s v="1715187" u="1"/>
        <s v="1707529" u="1"/>
        <s v="1708493" u="1"/>
        <s v="1733866" u="1"/>
        <s v="1704879" u="1"/>
        <s v="1704299" u="1"/>
        <s v="1710358" u="1"/>
        <s v="1733849" u="1"/>
        <s v="1704188" u="1"/>
        <s v="1637512" u="1"/>
        <s v="1733747" u="1"/>
        <s v="1724197" u="1"/>
        <s v="1733878" u="1"/>
        <s v="1637504" u="1"/>
        <s v="1637532" u="1"/>
        <s v="1710884" u="1"/>
        <s v="1714779" u="1"/>
        <s v="1733692" u="1"/>
        <s v="1703405" u="1"/>
        <s v="1703666" u="1"/>
        <s v="1637524" u="1"/>
        <s v="1703546" u="1"/>
        <s v="1724407" u="1"/>
        <s v="1703574" u="1"/>
        <s v="1704473" u="1"/>
        <s v="1637442" u="1"/>
        <s v="1637536" u="1"/>
        <s v="1723941" u="1"/>
      </sharedItems>
    </cacheField>
    <cacheField name="no" numFmtId="0">
      <sharedItems containsNonDate="0" containsString="0" containsBlank="1" containsNumber="1" containsInteger="1" minValue="1" maxValue="62" count="32">
        <m/>
        <n v="34" u="1"/>
        <n v="13" u="1"/>
        <n v="5" u="1"/>
        <n v="14" u="1"/>
        <n v="2" u="1"/>
        <n v="6" u="1"/>
        <n v="16" u="1"/>
        <n v="17" u="1"/>
        <n v="18" u="1"/>
        <n v="52" u="1"/>
        <n v="19" u="1"/>
        <n v="7" u="1"/>
        <n v="20" u="1"/>
        <n v="21" u="1"/>
        <n v="22" u="1"/>
        <n v="1" u="1"/>
        <n v="23" u="1"/>
        <n v="3" u="1"/>
        <n v="62" u="1"/>
        <n v="8" u="1"/>
        <n v="25" u="1"/>
        <n v="9" u="1"/>
        <n v="45" u="1"/>
        <n v="27" u="1"/>
        <n v="10" u="1"/>
        <n v="47" u="1"/>
        <n v="11" u="1"/>
        <n v="30" u="1"/>
        <n v="31" u="1"/>
        <n v="4" u="1"/>
        <n v="32" u="1"/>
      </sharedItems>
    </cacheField>
    <cacheField name="prop_id" numFmtId="0">
      <sharedItems containsNonDate="0" containsString="0" containsBlank="1"/>
    </cacheField>
    <cacheField name="pi_last_name" numFmtId="0">
      <sharedItems containsNonDate="0" containsBlank="1" count="82">
        <m/>
        <s v="Kane" u="1"/>
        <s v="Berger" u="1"/>
        <s v="Fernandes" u="1"/>
        <s v="Brooks" u="1"/>
        <s v="Perona" u="1"/>
        <s v="Charikar" u="1"/>
        <s v="Lee" u="1"/>
        <s v="Kalai" u="1"/>
        <s v="Wu" u="1"/>
        <s v="Miller" u="1"/>
        <s v="Raz" u="1"/>
        <s v="Yuan" u="1"/>
        <s v="Sekar" u="1"/>
        <s v="Balakrishnan" u="1"/>
        <s v="Kumar" u="1"/>
        <s v="Chen" u="1"/>
        <s v="ROTH" u="1"/>
        <s v="Cheng" u="1"/>
        <s v="Squicciarini" u="1"/>
        <s v="Owens" u="1"/>
        <s v="Galloway" u="1"/>
        <s v="Leskovec" u="1"/>
        <s v="Sinha" u="1"/>
        <s v="Valiant" u="1"/>
        <s v="Reingold" u="1"/>
        <s v="Shroff" u="1"/>
        <s v="Vadhan" u="1"/>
        <s v="Metaxas" u="1"/>
        <s v="Adams" u="1"/>
        <s v="Kannan" u="1"/>
        <s v="Su" u="1"/>
        <s v="Lin" u="1"/>
        <s v="Rubinfeld" u="1"/>
        <s v="Vohra" u="1"/>
        <s v="Phillips" u="1"/>
        <s v="Seshadhri" u="1"/>
        <s v="Kennard" u="1"/>
        <s v="Wood" u="1"/>
        <s v="Haeupler" u="1"/>
        <s v="Han" u="1"/>
        <s v="Borner" u="1"/>
        <s v="Lobaton" u="1"/>
        <s v="Azevedo" u="1"/>
        <s v="Stein" u="1"/>
        <s v="Parameswaran" u="1"/>
        <s v="Saha" u="1"/>
        <s v="Griffin" u="1"/>
        <s v="Re" u="1"/>
        <s v="Foster" u="1"/>
        <s v="Grosu" u="1"/>
        <s v="Pankratius" u="1"/>
        <s v="Tsechpenakis" u="1"/>
        <s v="Shi" u="1"/>
        <s v="Panagou" u="1"/>
        <s v="Mulase" u="1"/>
        <s v="Fisher" u="1"/>
        <s v="Daniilidis" u="1"/>
        <s v="Zhang" u="1"/>
        <s v="Kuindersma" u="1"/>
        <s v="Low" u="1"/>
        <s v="Kaeli" u="1"/>
        <s v="Rudra" u="1"/>
        <s v="Zussman" u="1"/>
        <s v="Wei" u="1"/>
        <s v="Glickenstein" u="1"/>
        <s v="Murray" u="1"/>
        <s v="Kobourov" u="1"/>
        <s v="Yim" u="1"/>
        <s v="Sudan" u="1"/>
        <s v="Gibson" u="1"/>
        <s v="Agarwal" u="1"/>
        <s v="Goldwasser" u="1"/>
        <s v="Yue" u="1"/>
        <s v="Wang" u="1"/>
        <s v="Koenig" u="1"/>
        <s v="Shen" u="1"/>
        <s v="Knopf" u="1"/>
        <s v="Pan" u="1"/>
        <s v="Ayanian" u="1"/>
        <s v="Munagala" u="1"/>
        <s v="Williams" u="1"/>
      </sharedItems>
    </cacheField>
    <cacheField name="pi_frst_name" numFmtId="0">
      <sharedItems containsNonDate="0" containsString="0" containsBlank="1"/>
    </cacheField>
    <cacheField name="pi_emai_addr" numFmtId="0">
      <sharedItems containsNonDate="0" containsString="0" containsBlank="1"/>
    </cacheField>
    <cacheField name="proj_role_code" numFmtId="0">
      <sharedItems containsNonDate="0" containsString="0" containsBlank="1"/>
    </cacheField>
    <cacheField name="pi_id" numFmtId="22">
      <sharedItems containsNonDate="0" containsString="0" containsBlank="1"/>
    </cacheField>
    <cacheField name="inst_name" numFmtId="22">
      <sharedItems containsNonDate="0" containsString="0" containsBlank="1"/>
    </cacheField>
    <cacheField name="org_code" numFmtId="0">
      <sharedItems containsNonDate="0" containsString="0" containsBlank="1"/>
    </cacheField>
    <cacheField name="pgm_ele_code" numFmtId="0">
      <sharedItems containsNonDate="0" containsString="0" containsBlank="1"/>
    </cacheField>
    <cacheField name="pm_ibm_logn_id" numFmtId="0">
      <sharedItems containsNonDate="0" containsString="0" containsBlank="1"/>
    </cacheField>
    <cacheField name="ej" numFmtId="0">
      <sharedItems containsNonDate="0" containsString="0" containsBlank="1"/>
    </cacheField>
    <cacheField name="pend_id" numFmtId="0">
      <sharedItems containsNonDate="0" containsString="0" containsBlank="1"/>
    </cacheField>
    <cacheField name="prop_stts_txt" numFmtId="0">
      <sharedItems containsNonDate="0" containsString="0" containsBlank="1"/>
    </cacheField>
    <cacheField name="panl_id" numFmtId="0">
      <sharedItems containsNonDate="0" containsString="0" containsBlank="1"/>
    </cacheField>
    <cacheField name="rcom_seq_num" numFmtId="0">
      <sharedItems containsNonDate="0" containsString="0" containsBlank="1"/>
    </cacheField>
    <cacheField name="rcom_abbr" numFmtId="0">
      <sharedItems containsNonDate="0" containsString="0" containsBlank="1"/>
    </cacheField>
    <cacheField name="rcom_awd_istr" numFmtId="0">
      <sharedItems containsNonDate="0" containsString="0" containsBlank="1"/>
    </cacheField>
    <cacheField name="rqst_dol" numFmtId="166">
      <sharedItems containsNonDate="0" containsString="0" containsBlank="1"/>
    </cacheField>
    <cacheField name="numPI" numFmtId="0">
      <sharedItems containsNonDate="0" containsString="0" containsBlank="1"/>
    </cacheField>
    <cacheField name="rqst/PI" numFmtId="166">
      <sharedItems containsNonDate="0" containsString="0" containsBlank="1"/>
    </cacheField>
    <cacheField name="rqst_mnth_cnt" numFmtId="0">
      <sharedItems containsNonDate="0" containsString="0" containsBlank="1"/>
    </cacheField>
    <cacheField name="rcom_mnth_cnt" numFmtId="0">
      <sharedItems containsNonDate="0" containsString="0" containsBlank="1"/>
    </cacheField>
    <cacheField name="nsf_rcvd_date" numFmtId="165">
      <sharedItems containsNonDate="0" containsString="0" containsBlank="1"/>
    </cacheField>
    <cacheField name="pm_asgn_date" numFmtId="165">
      <sharedItems containsNonDate="0" containsString="0" containsBlank="1"/>
    </cacheField>
    <cacheField name="rqst_eff_date" numFmtId="165">
      <sharedItems containsNonDate="0" containsString="0" containsBlank="1"/>
    </cacheField>
    <cacheField name="rcom_eff_date" numFmtId="165">
      <sharedItems containsNonDate="0" containsString="0" containsBlank="1"/>
    </cacheField>
    <cacheField name="pm_rcom_date" numFmtId="165">
      <sharedItems containsNonDate="0" containsString="0" containsBlank="1"/>
    </cacheField>
    <cacheField name="prop_stts_code" numFmtId="0">
      <sharedItems containsNonDate="0" containsString="0" containsBlank="1"/>
    </cacheField>
    <cacheField name="prop_stts_abbr" numFmtId="0">
      <sharedItems containsNonDate="0" containsString="0" containsBlank="1"/>
    </cacheField>
    <cacheField name="prop_titl_tx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noeyink, Jack S." refreshedDate="42873.39112685185" createdVersion="5" refreshedVersion="6" minRefreshableVersion="3" recordCount="1">
  <cacheSource type="worksheet">
    <worksheetSource name="Query_from_RPTSERVER" sheet="Awards"/>
  </cacheSource>
  <cacheFields count="31">
    <cacheField name="lead" numFmtId="49">
      <sharedItems count="146">
        <s v=" "/>
        <s v="1704860" u="1"/>
        <s v="1535852" u="1"/>
        <s v="1564549" u="1"/>
        <s v="1637407" u="1"/>
        <s v="1637556" u="1"/>
        <s v="1637360" u="1"/>
        <s v="1637472" u="1"/>
        <s v="1637584" u="1"/>
        <s v="1740888" u="1"/>
        <s v="0963975" u="1"/>
        <s v="1637538" u="1"/>
        <s v="1703925" u="1"/>
        <s v="1708420" u="1"/>
        <s v="1637454" u="1"/>
        <s v="1637529" u="1"/>
        <s v="1539084" u="1"/>
        <s v="1637585" u="1"/>
        <s v="1733803" u="1"/>
        <s v="1565235" u="1"/>
        <s v="1637539" u="1"/>
        <s v="1637576" u="1"/>
        <s v="1709544" u="1"/>
        <s v="1637418" u="1"/>
        <s v="1724132" u="1"/>
        <s v="1533823" u="1"/>
        <s v="1703374" u="1"/>
        <s v="1718533" u="1"/>
        <s v="1703861" u="1"/>
        <s v="1708422" u="1"/>
        <s v="1710565" u="1"/>
        <s v="1535967" u="1"/>
        <s v="1637307" u="1"/>
        <s v="1539095" u="1"/>
        <s v="1563990" u="1"/>
        <s v="1637596" u="1"/>
        <s v="1641276" u="1"/>
        <s v="1724227" u="1"/>
        <s v="1535977" u="1"/>
        <s v="1704864" u="1"/>
        <s v="1536026" u="1"/>
        <s v="1704238" u="1"/>
        <s v="1704510" u="1"/>
        <s v="1708629" u="1"/>
        <s v="1535987" u="1"/>
        <s v="1565387" u="1"/>
        <s v="1704257" u="1"/>
        <s v="1733834" u="1"/>
        <s v="1535857" u="1"/>
        <s v="1637495" u="1"/>
        <s v="1539097" u="1"/>
        <s v="1637598" u="1"/>
        <s v="1018829" u="1"/>
        <s v="1539088" u="1"/>
        <s v="1705091" u="1"/>
        <s v="1711439" u="1"/>
        <s v="1535755" u="1"/>
        <s v="1539079" u="1"/>
        <s v="1637393" u="1"/>
        <s v="1708798" u="1"/>
        <s v="1718902" u="1"/>
        <s v="1637496" u="1"/>
        <s v="1711309" u="1"/>
        <s v="1539098" u="1"/>
        <s v="1637385" u="1"/>
        <s v="1637497" u="1"/>
        <s v="1703996" u="1"/>
        <s v="1705028" u="1"/>
        <s v="1707583" u="1"/>
        <s v="1727545" u="1"/>
        <s v="1709111" u="1"/>
        <s v="1718342" u="1"/>
        <s v="1709475" u="1"/>
        <s v="1733837" u="1"/>
        <s v="1733874" u="1"/>
        <s v="1637386" u="1"/>
        <s v="1710150" u="1"/>
        <s v="1539111" u="1"/>
        <s v="1637377" u="1"/>
        <s v="1712995" u="1"/>
        <s v="1715187" u="1"/>
        <s v="1535795" u="1"/>
        <s v="1711283" u="1"/>
        <s v="1708493" u="1"/>
        <s v="1733866" u="1"/>
        <s v="1535900" u="1"/>
        <s v="1562041" u="1"/>
        <s v="1703765" u="1"/>
        <s v="1563155" u="1"/>
        <s v="1563838" u="1"/>
        <s v="1704879" u="1"/>
        <s v="1711293" u="1"/>
        <s v="1704299" u="1"/>
        <s v="1717100" u="1"/>
        <s v="1711014" u="1"/>
        <s v="1707924" u="1"/>
        <s v="1710358" u="1"/>
        <s v="1733849" u="1"/>
        <s v="1744009" u="1"/>
        <s v="1704188" u="1"/>
        <s v="1637512" u="1"/>
        <s v="1535902" u="1"/>
        <s v="1733747" u="1"/>
        <s v="1724197" u="1"/>
        <s v="1707270" u="1"/>
        <s v="1733878" u="1"/>
        <s v="1535565" u="1"/>
        <s v="1637504" u="1"/>
        <s v="1708226" u="1"/>
        <s v="1563729" u="1"/>
        <s v="1637532" u="1"/>
        <s v="1539134" u="1"/>
        <s v="1710884" u="1"/>
        <s v="1711522" u="1"/>
        <s v="1714779" u="1"/>
        <s v="1733692" u="1"/>
        <s v="1700894" u="1"/>
        <s v="1703405" u="1"/>
        <s v="1703666" u="1"/>
        <s v="1743075" u="1"/>
        <s v="1539135" u="1"/>
        <s v="1637524" u="1"/>
        <s v="1703546" u="1"/>
        <s v="1724407" u="1"/>
        <s v="1637534" u="1"/>
        <s v="1637571" u="1"/>
        <s v="1703574" u="1"/>
        <s v="1704473" u="1"/>
        <s v="1535952" u="1"/>
        <s v="1637516" u="1"/>
        <s v="1539118" u="1"/>
        <s v="1703351" u="1"/>
        <s v="1708033" u="1"/>
        <s v="1708641" u="1"/>
        <s v="1637442" u="1"/>
        <s v="1707827" u="1"/>
        <s v="1535972" u="1"/>
        <s v="1536002" u="1"/>
        <s v="1637536" u="1"/>
        <s v="1637573" u="1"/>
        <s v="1535851" u="1"/>
        <s v="1535991" u="1"/>
        <s v="1539091" u="1"/>
        <s v="1708389" u="1"/>
        <s v="1723941" u="1"/>
        <s v="1539157" u="1"/>
      </sharedItems>
    </cacheField>
    <cacheField name="no" numFmtId="0">
      <sharedItems containsMixedTypes="1" containsNumber="1" containsInteger="1" minValue="1" maxValue="65" count="46">
        <e v="#N/A"/>
        <n v="34" u="1"/>
        <n v="13" u="1"/>
        <n v="36" u="1"/>
        <n v="61" u="1"/>
        <n v="38" u="1"/>
        <n v="5" u="1"/>
        <n v="63" u="1"/>
        <n v="42" u="1"/>
        <n v="15" u="1"/>
        <n v="2" u="1"/>
        <n v="6" u="1"/>
        <n v="16" u="1"/>
        <n v="17" u="1"/>
        <n v="18" u="1"/>
        <n v="65" u="1"/>
        <n v="19" u="1"/>
        <n v="7" u="1"/>
        <n v="20" u="1"/>
        <n v="21" u="1"/>
        <n v="22" u="1"/>
        <n v="60" u="1"/>
        <n v="1" u="1"/>
        <n v="23" u="1"/>
        <n v="3" u="1"/>
        <n v="62" u="1"/>
        <n v="8" u="1"/>
        <n v="24" u="1"/>
        <n v="25" u="1"/>
        <n v="9" u="1"/>
        <n v="43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31" u="1"/>
        <n v="4" u="1"/>
        <n v="12" u="1"/>
        <n v="32" u="1"/>
      </sharedItems>
    </cacheField>
    <cacheField name="prop_id" numFmtId="0">
      <sharedItems/>
    </cacheField>
    <cacheField name="pi_last_name" numFmtId="0">
      <sharedItems count="248">
        <s v="Marenco"/>
        <s v="Saenko" u="1"/>
        <s v="Kane" u="1"/>
        <s v="Peng" u="1"/>
        <s v="Berger" u="1"/>
        <s v="Fernandes" u="1"/>
        <s v="Ni" u="1"/>
        <s v="Brooks" u="1"/>
        <s v="Perona" u="1"/>
        <s v="Guruswami" u="1"/>
        <s v="Hasegawa-Johnson" u="1"/>
        <s v="Jones" u="1"/>
        <s v="Pruhs" u="1"/>
        <s v="Charikar" u="1"/>
        <s v="Wasserman" u="1"/>
        <s v="Lee" u="1"/>
        <s v="Akella" u="1"/>
        <s v="Balazinska" u="1"/>
        <s v="Fasy" u="1"/>
        <s v="Saraf" u="1"/>
        <s v="McGregor" u="1"/>
        <s v="Pascaleff" u="1"/>
        <s v="Zuckerman" u="1"/>
        <s v="Viaclovsky" u="1"/>
        <s v="Wu" u="1"/>
        <s v="Mese" u="1"/>
        <s v="Indyk" u="1"/>
        <s v="Jacob" u="1"/>
        <s v="Hastings" u="1"/>
        <s v="McCallum" u="1"/>
        <s v="Hajiaghayi" u="1"/>
        <s v="Cho" u="1"/>
        <s v="Raz" u="1"/>
        <s v="Xia" u="1"/>
        <s v="Sekar" u="1"/>
        <s v="Daskalakis" u="1"/>
        <s v="Impagliazzo" u="1"/>
        <s v="Hsu" u="1"/>
        <s v="Kumar" u="1"/>
        <s v="Mazumdar" u="1"/>
        <s v="Panigrahi" u="1"/>
        <s v="Paturi" u="1"/>
        <s v="Rinaldo" u="1"/>
        <s v="Mitzenmacher" u="1"/>
        <s v="Gao" u="1"/>
        <s v="Chen" u="1"/>
        <s v="ROTH" u="1"/>
        <s v="Ruan" u="1"/>
        <s v="Cheng" u="1"/>
        <s v="Iacono" u="1"/>
        <s v="Weinkove" u="1"/>
        <s v="Squicciarini" u="1"/>
        <s v="Fahmy" u="1"/>
        <s v="Sontag" u="1"/>
        <s v="Li" u="1"/>
        <s v="Owens" u="1"/>
        <s v="Regan" u="1"/>
        <s v="Cottrell" u="1"/>
        <s v="Dasgupta" u="1"/>
        <s v="Galloway" u="1"/>
        <s v="Bender" u="1"/>
        <s v="Chrobak" u="1"/>
        <s v="Leskovec" u="1"/>
        <s v="Sinha" u="1"/>
        <s v="Valiant" u="1"/>
        <s v="Ngo" u="1"/>
        <s v="Streinu" u="1"/>
        <s v="Braverman" u="1"/>
        <s v="Dey" u="1"/>
        <s v="Reiter" u="1"/>
        <s v="Chandrasekaran" u="1"/>
        <s v="Chakareski" u="1"/>
        <s v="Roughgarden" u="1"/>
        <s v="Gupta" u="1"/>
        <s v="Perry" u="1"/>
        <s v="Maciejewski" u="1"/>
        <s v="Khuri" u="1"/>
        <s v="Obradovic" u="1"/>
        <s v="Santhanam" u="1"/>
        <s v="Diakonikolas" u="1"/>
        <s v="Shroff" u="1"/>
        <s v="Andoni" u="1"/>
        <s v="Marathe" u="1"/>
        <s v="Arce" u="1"/>
        <s v="Arora" u="1"/>
        <s v="Grover" u="1"/>
        <s v="Vadhan" u="1"/>
        <s v="Metaxas" u="1"/>
        <s v="Kronheimer" u="1"/>
        <s v="Blum" u="1"/>
        <s v="Adams" u="1"/>
        <s v="Parrilo" u="1"/>
        <s v="Minicozzi" u="1"/>
        <s v="Sitchinava" u="1"/>
        <s v="Golparvar-Fard" u="1"/>
        <s v="Bilmes" u="1"/>
        <s v="Kannan" u="1"/>
        <s v="Srinivasan" u="1"/>
        <s v="Su" u="1"/>
        <s v="Lin" u="1"/>
        <s v="Buss" u="1"/>
        <s v="Studer" u="1"/>
        <s v="Honaker" u="1"/>
        <s v="Hazan" u="1"/>
        <s v="Mohri" u="1"/>
        <s v="Lau" u="1"/>
        <s v="Demaine" u="1"/>
        <s v="Har-Peled" u="1"/>
        <s v="Chong" u="1"/>
        <s v="White" u="1"/>
        <s v="Rubinfeld" u="1"/>
        <s v="Farach-Colton" u="1"/>
        <s v="Cao" u="1"/>
        <s v="Zhou" u="1"/>
        <s v="Bhanu" u="1"/>
        <s v="Vohra" u="1"/>
        <s v="Phillips" u="1"/>
        <s v="Katabi" u="1"/>
        <s v="Richa" u="1"/>
        <s v="Kennard" u="1"/>
        <s v="Vempala" u="1"/>
        <s v="Song" u="1"/>
        <s v="Yannakakis" u="1"/>
        <s v="Xu" u="1"/>
        <s v="Wood" u="1"/>
        <s v="Haeupler" u="1"/>
        <s v="Mitchell" u="1"/>
        <s v="Madanayake" u="1"/>
        <s v="Lovett" u="1"/>
        <s v="Orecchia" u="1"/>
        <s v="Gatterbauer" u="1"/>
        <s v="Han" u="1"/>
        <s v="Suri" u="1"/>
        <s v="Lewis" u="1"/>
        <s v="Borner" u="1"/>
        <s v="Pettie" u="1"/>
        <s v="Randall" u="1"/>
        <s v="Sa Barreto" u="1"/>
        <s v="Shemyakova" u="1"/>
        <s v="Lobaton" u="1"/>
        <s v="Munteanu" u="1"/>
        <s v="Kapouleas" u="1"/>
        <s v="Albarghouthi" u="1"/>
        <s v="Tovey" u="1"/>
        <s v="Azevedo" u="1"/>
        <s v="Wenk" u="1"/>
        <s v="Kozen" u="1"/>
        <s v="Stein" u="1"/>
        <s v="Liu" u="1"/>
        <s v="Kleinberg" u="1"/>
        <s v="Schoenebeck" u="1"/>
        <s v="Sun" u="1"/>
        <s v="Chung" u="1"/>
        <s v="Balcan" u="1"/>
        <s v="Moitra" u="1"/>
        <s v="Goudeseune" u="1"/>
        <s v="Parameswaran" u="1"/>
        <s v="Saha" u="1"/>
        <s v="Tang" u="1"/>
        <s v="Maggs" u="1"/>
        <s v="Griffin" u="1"/>
        <s v="Re" u="1"/>
        <s v="Zou" u="1"/>
        <s v="Andersen" u="1"/>
        <s v="Foster" u="1"/>
        <s v="Eppstein" u="1"/>
        <s v="Goel" u="1"/>
        <s v="Pankratius" u="1"/>
        <s v="Tsechpenakis" u="1"/>
        <s v="Shi" u="1"/>
        <s v="Panagou" u="1"/>
        <s v="Servedio" u="1"/>
        <s v="Lind" u="1"/>
        <s v="Mulase" u="1"/>
        <s v="Vullikanti" u="1"/>
        <s v="Katsaggelos" u="1"/>
        <s v="Fisher" u="1"/>
        <s v="Rajaraman" u="1"/>
        <s v="Bray" u="1"/>
        <s v="Kakade" u="1"/>
        <s v="Darrell" u="1"/>
        <s v="Abadi" u="1"/>
        <s v="Johnson" u="1"/>
        <s v="Goldstein" u="1"/>
        <s v="Daniilidis" u="1"/>
        <s v="Zhang" u="1"/>
        <s v="Goodrich" u="1"/>
        <s v="Kaltofen" u="1"/>
        <s v="Kuindersma" u="1"/>
        <s v="Low" u="1"/>
        <s v="Pai" u="1"/>
        <s v="Kaeli" u="1"/>
        <s v="Rudra" u="1"/>
        <s v="Silva" u="1"/>
        <s v="Warnow" u="1"/>
        <s v="Leiserson" u="1"/>
        <s v="Rao" u="1"/>
        <s v="Feng" u="1"/>
        <s v="Patro" u="1"/>
        <s v="Forsyth" u="1"/>
        <s v="Zussman" u="1"/>
        <s v="Ravi" u="1"/>
        <s v="Blumenstock" u="1"/>
        <s v="Tu" u="1"/>
        <s v="Wei" u="1"/>
        <s v="Cossairt" u="1"/>
        <s v="Sidiropoulos" u="1"/>
        <s v="Gharib" u="1"/>
        <s v="Murray" u="1"/>
        <s v="Kobourov" u="1"/>
        <s v="Moshkovitz" u="1"/>
        <s v="Sundaram" u="1"/>
        <s v="Yim" u="1"/>
        <s v="Sudan" u="1"/>
        <s v="Porter" u="1"/>
        <s v="Agarwal" u="1"/>
        <s v="Klivans" u="1"/>
        <s v="Goldwasser" u="1"/>
        <s v="Yue" u="1"/>
        <s v="Wang" u="1"/>
        <s v="Smith" u="1"/>
        <s v="Koenig" u="1"/>
        <s v="Vigoda" u="1"/>
        <s v="Chekuri" u="1"/>
        <s v="Spielman" u="1"/>
        <s v="Prabhakaran" u="1"/>
        <s v="Ramakrishnan" u="1"/>
        <s v="Shen" u="1"/>
        <s v="Knopf" u="1"/>
        <s v="Borcea" u="1"/>
        <s v="Pan" u="1"/>
        <s v="Schoen" u="1"/>
        <s v="Ayanian" u="1"/>
        <s v="Goldman" u="1"/>
        <s v="Kopparty" u="1"/>
        <s v="Huang" u="1"/>
        <s v="Pothen" u="1"/>
        <s v="Gans" u="1"/>
        <s v="Brisk" u="1"/>
        <s v="Munagala" u="1"/>
        <s v="Suciu" u="1"/>
        <s v="Kelner" u="1"/>
        <s v="Babai" u="1"/>
        <s v="Wierman" u="1"/>
        <s v="Williams" u="1"/>
        <s v="Seidel" u="1"/>
        <s v="Stefankovic" u="1"/>
        <s v="Kantarcioglu" u="1"/>
      </sharedItems>
    </cacheField>
    <cacheField name="pi_frst_name" numFmtId="0">
      <sharedItems/>
    </cacheField>
    <cacheField name="pi_emai_addr" numFmtId="0">
      <sharedItems/>
    </cacheField>
    <cacheField name="proj_role_code" numFmtId="0">
      <sharedItems/>
    </cacheField>
    <cacheField name="pi_id" numFmtId="22">
      <sharedItems/>
    </cacheField>
    <cacheField name="inst_name" numFmtId="22">
      <sharedItems/>
    </cacheField>
    <cacheField name="eJ" numFmtId="22">
      <sharedItems/>
    </cacheField>
    <cacheField name="awd_id" numFmtId="0">
      <sharedItems/>
    </cacheField>
    <cacheField name="inst_name2" numFmtId="0">
      <sharedItems/>
    </cacheField>
    <cacheField name="tot_intn_awd_amt" numFmtId="164">
      <sharedItems containsSemiMixedTypes="0" containsString="0" containsNumber="1" containsInteger="1" minValue="199914" maxValue="199914"/>
    </cacheField>
    <cacheField name="totPIs" numFmtId="0">
      <sharedItems containsSemiMixedTypes="0" containsString="0" containsNumber="1" containsInteger="1" minValue="2" maxValue="2"/>
    </cacheField>
    <cacheField name="Balance" numFmtId="164">
      <sharedItems containsSemiMixedTypes="0" containsString="0" containsNumber="1" minValue="49.839999999996508" maxValue="49.839999999996508"/>
    </cacheField>
    <cacheField name="Bal/PI" numFmtId="164">
      <sharedItems containsSemiMixedTypes="0" containsString="0" containsNumber="1" minValue="24.919999999998254" maxValue="24.919999999998254"/>
    </cacheField>
    <cacheField name="$ Spent" numFmtId="9">
      <sharedItems containsSemiMixedTypes="0" containsString="0" containsNumber="1" minValue="0.99975069279790307" maxValue="0.99975069279790307"/>
    </cacheField>
    <cacheField name="Time Spent" numFmtId="9">
      <sharedItems containsSemiMixedTypes="0" containsString="0" containsNumber="1" minValue="0.64840182648401823" maxValue="0.64840182648401823"/>
    </cacheField>
    <cacheField name="check" numFmtId="0">
      <sharedItems/>
    </cacheField>
    <cacheField name="awd_exp_date" numFmtId="165">
      <sharedItems containsSemiMixedTypes="0" containsNonDate="0" containsDate="1" containsString="0" minDate="2017-08-31T00:00:00" maxDate="2017-09-01T00:00:00"/>
    </cacheField>
    <cacheField name="totOblg_amt" numFmtId="164">
      <sharedItems containsSemiMixedTypes="0" containsString="0" containsNumber="1" containsInteger="1" minValue="199914" maxValue="199914"/>
    </cacheField>
    <cacheField name="totCuml_xpnd_amt" numFmtId="164">
      <sharedItems containsSemiMixedTypes="0" containsString="0" containsNumber="1" minValue="199864.16" maxValue="199864.16"/>
    </cacheField>
    <cacheField name="last_pymt_date" numFmtId="165">
      <sharedItems containsSemiMixedTypes="0" containsNonDate="0" containsDate="1" containsString="0" minDate="2016-08-11T00:00:00" maxDate="2016-08-12T00:00:00"/>
    </cacheField>
    <cacheField name="ej2" numFmtId="0">
      <sharedItems/>
    </cacheField>
    <cacheField name="last_prop_id" numFmtId="0">
      <sharedItems/>
    </cacheField>
    <cacheField name="org_code" numFmtId="0">
      <sharedItems/>
    </cacheField>
    <cacheField name="pgm_ele_code" numFmtId="0">
      <sharedItems/>
    </cacheField>
    <cacheField name="pm_ibm_logn_id" numFmtId="0">
      <sharedItems/>
    </cacheField>
    <cacheField name="awd_stts_date" numFmtId="165">
      <sharedItems containsSemiMixedTypes="0" containsNonDate="0" containsDate="1" containsString="0" minDate="2014-08-18T13:31:48" maxDate="2014-08-18T13:31:48"/>
    </cacheField>
    <cacheField name="awd_eff_date" numFmtId="165">
      <sharedItems containsSemiMixedTypes="0" containsNonDate="0" containsDate="1" containsString="0" minDate="2014-09-01T00:00:00" maxDate="2014-09-02T00:00:00"/>
    </cacheField>
    <cacheField name="awd_titl_tx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s v="1502544"/>
    <x v="0"/>
    <s v="Pedro"/>
    <s v="pmarenco@brynmawr.edu"/>
    <s v="1"/>
    <s v="269831332"/>
    <s v="Bryn Mawr College"/>
    <s v="eJ"/>
    <s v="1428975"/>
    <s v="Bryn Mawr College"/>
    <n v="199914"/>
    <n v="2"/>
    <n v="49.839999999996508"/>
    <n v="24.919999999998254"/>
    <n v="0.99975069279790307"/>
    <n v="0.64840182648401823"/>
    <s v=""/>
    <d v="2017-08-31T00:00:00"/>
    <n v="199914"/>
    <n v="199864.16"/>
    <d v="2016-08-11T00:00:00"/>
    <s v="eJ"/>
    <s v="1428975"/>
    <s v="06030000"/>
    <s v="1189"/>
    <s v="DLAMBER"/>
    <d v="2014-08-18T13:31:48"/>
    <d v="2014-09-01T00:00:00"/>
    <s v="MRI:   Stable isotope analyses in a liberal arts college setting: teaching and research opportunities for undergraduates and facult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L11:O15" firstHeaderRow="0" firstDataRow="1" firstDataCol="1"/>
  <pivotFields count="32">
    <pivotField axis="axisRow" showAll="0" sortType="descending">
      <items count="57">
        <item m="1" x="12"/>
        <item m="1" x="23"/>
        <item m="1" x="1"/>
        <item m="1" x="8"/>
        <item m="1" x="53"/>
        <item m="1" x="4"/>
        <item m="1" x="41"/>
        <item m="1" x="37"/>
        <item m="1" x="48"/>
        <item m="1" x="42"/>
        <item m="1" x="54"/>
        <item m="1" x="7"/>
        <item m="1" x="13"/>
        <item m="1" x="5"/>
        <item m="1" x="21"/>
        <item m="1" x="14"/>
        <item m="1" x="3"/>
        <item m="1" x="51"/>
        <item m="1" x="44"/>
        <item m="1" x="18"/>
        <item m="1" x="47"/>
        <item m="1" x="19"/>
        <item m="1" x="22"/>
        <item m="1" x="49"/>
        <item m="1" x="33"/>
        <item m="1" x="24"/>
        <item m="1" x="27"/>
        <item m="1" x="11"/>
        <item m="1" x="52"/>
        <item m="1" x="36"/>
        <item m="1" x="10"/>
        <item m="1" x="32"/>
        <item m="1" x="16"/>
        <item m="1" x="17"/>
        <item m="1" x="39"/>
        <item m="1" x="15"/>
        <item m="1" x="50"/>
        <item m="1" x="55"/>
        <item m="1" x="9"/>
        <item x="0"/>
        <item m="1" x="43"/>
        <item m="1" x="34"/>
        <item m="1" x="46"/>
        <item m="1" x="30"/>
        <item m="1" x="29"/>
        <item m="1" x="2"/>
        <item m="1" x="31"/>
        <item m="1" x="20"/>
        <item m="1" x="26"/>
        <item m="1" x="40"/>
        <item m="1" x="38"/>
        <item m="1" x="35"/>
        <item m="1" x="25"/>
        <item m="1" x="6"/>
        <item m="1" x="45"/>
        <item m="1" x="2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>
      <items count="33">
        <item m="1" x="16"/>
        <item m="1" x="30"/>
        <item m="1" x="6"/>
        <item m="1" x="20"/>
        <item m="1" x="27"/>
        <item m="1" x="8"/>
        <item m="1" x="9"/>
        <item m="1" x="11"/>
        <item m="1" x="13"/>
        <item m="1" x="17"/>
        <item m="1" x="21"/>
        <item m="1" x="24"/>
        <item m="1" x="29"/>
        <item m="1" x="31"/>
        <item m="1" x="1"/>
        <item m="1" x="3"/>
        <item m="1" x="5"/>
        <item m="1" x="12"/>
        <item m="1" x="22"/>
        <item m="1" x="25"/>
        <item m="1" x="2"/>
        <item m="1" x="4"/>
        <item m="1" x="7"/>
        <item m="1" x="14"/>
        <item m="1" x="15"/>
        <item m="1" x="18"/>
        <item m="1" x="28"/>
        <item m="1" x="23"/>
        <item m="1" x="26"/>
        <item m="1" x="10"/>
        <item m="1" x="19"/>
        <item x="0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83">
        <item m="1" x="71"/>
        <item m="1" x="79"/>
        <item m="1" x="14"/>
        <item m="1" x="2"/>
        <item m="1" x="49"/>
        <item m="1" x="75"/>
        <item m="1" x="60"/>
        <item m="1" x="10"/>
        <item m="1" x="80"/>
        <item m="1" x="20"/>
        <item m="1" x="51"/>
        <item m="1" x="35"/>
        <item m="1" x="13"/>
        <item m="1" x="26"/>
        <item m="1" x="23"/>
        <item m="1" x="44"/>
        <item m="1" x="31"/>
        <item m="1" x="74"/>
        <item m="1" x="73"/>
        <item m="1" x="63"/>
        <item m="1" x="57"/>
        <item m="1" x="15"/>
        <item m="1" x="7"/>
        <item m="1" x="68"/>
        <item m="1" x="16"/>
        <item m="1" x="24"/>
        <item m="1" x="11"/>
        <item m="1" x="17"/>
        <item m="1" x="27"/>
        <item m="1" x="25"/>
        <item m="1" x="6"/>
        <item m="1" x="81"/>
        <item m="1" x="1"/>
        <item m="1" x="30"/>
        <item m="1" x="34"/>
        <item m="1" x="72"/>
        <item m="1" x="8"/>
        <item m="1" x="33"/>
        <item m="1" x="36"/>
        <item m="1" x="48"/>
        <item m="1" x="62"/>
        <item m="1" x="39"/>
        <item m="1" x="58"/>
        <item m="1" x="76"/>
        <item m="1" x="29"/>
        <item m="1" x="4"/>
        <item m="1" x="59"/>
        <item m="1" x="64"/>
        <item m="1" x="38"/>
        <item m="1" x="56"/>
        <item m="1" x="50"/>
        <item m="1" x="53"/>
        <item m="1" x="66"/>
        <item m="1" x="5"/>
        <item m="1" x="54"/>
        <item m="1" x="52"/>
        <item m="1" x="43"/>
        <item m="1" x="40"/>
        <item m="1" x="42"/>
        <item m="1" x="9"/>
        <item x="0"/>
        <item m="1" x="3"/>
        <item m="1" x="55"/>
        <item m="1" x="77"/>
        <item m="1" x="37"/>
        <item m="1" x="65"/>
        <item m="1" x="21"/>
        <item m="1" x="28"/>
        <item m="1" x="61"/>
        <item m="1" x="32"/>
        <item m="1" x="78"/>
        <item m="1" x="12"/>
        <item m="1" x="70"/>
        <item m="1" x="45"/>
        <item m="1" x="67"/>
        <item m="1" x="41"/>
        <item m="1" x="18"/>
        <item m="1" x="19"/>
        <item m="1" x="47"/>
        <item m="1" x="46"/>
        <item m="1" x="22"/>
        <item m="1" x="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dataField="1" numFmtId="166" showAll="0" defaultSubtotal="0"/>
    <pivotField showAll="0"/>
    <pivotField showAll="0"/>
    <pivotField numFmtId="165" showAll="0"/>
    <pivotField numFmtId="165" showAll="0"/>
    <pivotField numFmtId="165" showAll="0"/>
    <pivotField showAll="0"/>
    <pivotField showAll="0"/>
    <pivotField showAll="0"/>
    <pivotField showAll="0"/>
    <pivotField showAll="0"/>
  </pivotFields>
  <rowFields count="3">
    <field x="1"/>
    <field x="0"/>
    <field x="3"/>
  </rowFields>
  <rowItems count="4">
    <i>
      <x v="31"/>
    </i>
    <i r="1">
      <x v="39"/>
    </i>
    <i r="2"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pend" fld="13" subtotal="count" baseField="0" baseItem="0"/>
    <dataField name="Sum of rqst_dol" fld="19" baseField="0" baseItem="0" numFmtId="166"/>
    <dataField name="Sum of rqst/PI" fld="21" baseField="0" baseItem="0" numFmtId="166"/>
  </dataFields>
  <formats count="4">
    <format dxfId="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SummaryTable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G11:J15" firstHeaderRow="0" firstDataRow="1" firstDataCol="1"/>
  <pivotFields count="31">
    <pivotField axis="axisRow" showAll="0" sortType="ascending">
      <items count="147">
        <item m="1" x="48"/>
        <item m="1" x="85"/>
        <item m="1" x="141"/>
        <item m="1" x="40"/>
        <item m="1" x="57"/>
        <item m="1" x="16"/>
        <item m="1" x="53"/>
        <item m="1" x="142"/>
        <item m="1" x="33"/>
        <item m="1" x="50"/>
        <item m="1" x="63"/>
        <item m="1" x="77"/>
        <item m="1" x="130"/>
        <item m="1" x="111"/>
        <item m="1" x="120"/>
        <item m="1" x="145"/>
        <item x="0"/>
        <item m="1" x="25"/>
        <item m="1" x="106"/>
        <item m="1" x="56"/>
        <item m="1" x="81"/>
        <item m="1" x="140"/>
        <item m="1" x="2"/>
        <item m="1" x="101"/>
        <item m="1" x="128"/>
        <item m="1" x="31"/>
        <item m="1" x="136"/>
        <item m="1" x="38"/>
        <item m="1" x="44"/>
        <item m="1" x="137"/>
        <item m="1" x="86"/>
        <item m="1" x="88"/>
        <item m="1" x="109"/>
        <item m="1" x="89"/>
        <item m="1" x="34"/>
        <item m="1" x="3"/>
        <item m="1" x="19"/>
        <item m="1" x="45"/>
        <item m="1" x="10"/>
        <item m="1" x="52"/>
        <item m="1" x="32"/>
        <item m="1" x="6"/>
        <item m="1" x="78"/>
        <item m="1" x="64"/>
        <item m="1" x="75"/>
        <item m="1" x="58"/>
        <item m="1" x="4"/>
        <item m="1" x="23"/>
        <item m="1" x="134"/>
        <item m="1" x="14"/>
        <item m="1" x="7"/>
        <item m="1" x="49"/>
        <item m="1" x="61"/>
        <item m="1" x="65"/>
        <item m="1" x="107"/>
        <item m="1" x="100"/>
        <item m="1" x="129"/>
        <item m="1" x="121"/>
        <item m="1" x="15"/>
        <item m="1" x="110"/>
        <item m="1" x="124"/>
        <item m="1" x="138"/>
        <item m="1" x="11"/>
        <item m="1" x="20"/>
        <item m="1" x="5"/>
        <item m="1" x="125"/>
        <item m="1" x="139"/>
        <item m="1" x="21"/>
        <item m="1" x="8"/>
        <item m="1" x="17"/>
        <item m="1" x="35"/>
        <item m="1" x="51"/>
        <item m="1" x="36"/>
        <item m="1" x="60"/>
        <item m="1" x="71"/>
        <item m="1" x="12"/>
        <item m="1" x="126"/>
        <item m="1" x="93"/>
        <item m="1" x="1"/>
        <item m="1" x="114"/>
        <item m="1" x="27"/>
        <item m="1" x="42"/>
        <item m="1" x="67"/>
        <item m="1" x="118"/>
        <item m="1" x="46"/>
        <item m="1" x="54"/>
        <item m="1" x="122"/>
        <item m="1" x="92"/>
        <item m="1" x="87"/>
        <item m="1" x="131"/>
        <item m="1" x="66"/>
        <item m="1" x="28"/>
        <item m="1" x="127"/>
        <item m="1" x="99"/>
        <item m="1" x="26"/>
        <item m="1" x="90"/>
        <item m="1" x="39"/>
        <item m="1" x="41"/>
        <item m="1" x="103"/>
        <item m="1" x="37"/>
        <item m="1" x="123"/>
        <item m="1" x="144"/>
        <item m="1" x="24"/>
        <item m="1" x="104"/>
        <item m="1" x="30"/>
        <item m="1" x="91"/>
        <item m="1" x="55"/>
        <item m="1" x="22"/>
        <item m="1" x="95"/>
        <item m="1" x="72"/>
        <item m="1" x="43"/>
        <item m="1" x="13"/>
        <item m="1" x="70"/>
        <item m="1" x="116"/>
        <item m="1" x="68"/>
        <item m="1" x="143"/>
        <item m="1" x="59"/>
        <item m="1" x="112"/>
        <item m="1" x="135"/>
        <item m="1" x="79"/>
        <item m="1" x="96"/>
        <item m="1" x="108"/>
        <item m="1" x="133"/>
        <item m="1" x="82"/>
        <item m="1" x="113"/>
        <item m="1" x="94"/>
        <item m="1" x="117"/>
        <item m="1" x="83"/>
        <item m="1" x="29"/>
        <item m="1" x="76"/>
        <item m="1" x="132"/>
        <item m="1" x="62"/>
        <item m="1" x="69"/>
        <item m="1" x="9"/>
        <item m="1" x="119"/>
        <item m="1" x="98"/>
        <item m="1" x="84"/>
        <item m="1" x="47"/>
        <item m="1" x="74"/>
        <item m="1" x="105"/>
        <item m="1" x="102"/>
        <item m="1" x="97"/>
        <item m="1" x="73"/>
        <item m="1" x="18"/>
        <item m="1" x="115"/>
        <item m="1" x="80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 defaultSubtotal="0">
      <items count="46">
        <item m="1" x="43"/>
        <item m="1" x="11"/>
        <item m="1" x="26"/>
        <item m="1" x="29"/>
        <item m="1" x="38"/>
        <item m="1" x="2"/>
        <item m="1" x="9"/>
        <item m="1" x="14"/>
        <item m="1" x="16"/>
        <item m="1" x="18"/>
        <item m="1" x="20"/>
        <item m="1" x="23"/>
        <item m="1" x="27"/>
        <item m="1" x="28"/>
        <item m="1" x="32"/>
        <item m="1" x="35"/>
        <item m="1" x="40"/>
        <item m="1" x="42"/>
        <item m="1" x="45"/>
        <item m="1" x="1"/>
        <item m="1" x="22"/>
        <item m="1" x="24"/>
        <item m="1" x="6"/>
        <item m="1" x="44"/>
        <item m="1" x="10"/>
        <item m="1" x="17"/>
        <item m="1" x="33"/>
        <item m="1" x="12"/>
        <item m="1" x="13"/>
        <item m="1" x="19"/>
        <item m="1" x="37"/>
        <item m="1" x="3"/>
        <item m="1" x="5"/>
        <item m="1" x="8"/>
        <item m="1" x="30"/>
        <item m="1" x="31"/>
        <item m="1" x="34"/>
        <item m="1" x="36"/>
        <item m="1" x="39"/>
        <item m="1" x="41"/>
        <item m="1" x="21"/>
        <item m="1" x="4"/>
        <item m="1" x="25"/>
        <item m="1" x="7"/>
        <item m="1" x="15"/>
        <item x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249">
        <item m="1" x="238"/>
        <item m="1" x="61"/>
        <item m="1" x="44"/>
        <item m="1" x="85"/>
        <item m="1" x="11"/>
        <item m="1" x="65"/>
        <item m="1" x="135"/>
        <item m="1" x="236"/>
        <item m="1" x="161"/>
        <item m="1" x="192"/>
        <item m="1" x="150"/>
        <item m="1" x="155"/>
        <item m="1" x="10"/>
        <item m="1" x="235"/>
        <item m="1" x="31"/>
        <item m="1" x="75"/>
        <item m="1" x="158"/>
        <item m="1" x="203"/>
        <item m="1" x="237"/>
        <item m="1" x="247"/>
        <item m="1" x="148"/>
        <item m="1" x="205"/>
        <item m="1" x="175"/>
        <item m="1" x="225"/>
        <item m="1" x="199"/>
        <item m="1" x="94"/>
        <item m="1" x="71"/>
        <item m="1" x="78"/>
        <item m="1" x="114"/>
        <item m="1" x="197"/>
        <item m="1" x="83"/>
        <item m="1" x="28"/>
        <item m="1" x="105"/>
        <item x="0"/>
        <item m="1" x="49"/>
        <item m="1" x="193"/>
        <item m="1" x="93"/>
        <item m="1" x="17"/>
        <item m="1" x="240"/>
        <item m="1" x="12"/>
        <item m="1" x="185"/>
        <item m="1" x="43"/>
        <item m="1" x="163"/>
        <item m="1" x="26"/>
        <item m="1" x="117"/>
        <item m="1" x="77"/>
        <item m="1" x="30"/>
        <item m="1" x="106"/>
        <item m="1" x="101"/>
        <item m="1" x="183"/>
        <item m="1" x="164"/>
        <item m="1" x="149"/>
        <item m="1" x="146"/>
        <item m="1" x="153"/>
        <item m="1" x="89"/>
        <item m="1" x="126"/>
        <item m="1" x="177"/>
        <item m="1" x="211"/>
        <item m="1" x="159"/>
        <item m="1" x="40"/>
        <item m="1" x="223"/>
        <item m="1" x="194"/>
        <item m="1" x="196"/>
        <item m="1" x="1"/>
        <item m="1" x="104"/>
        <item m="1" x="180"/>
        <item m="1" x="69"/>
        <item m="1" x="73"/>
        <item m="1" x="34"/>
        <item m="1" x="224"/>
        <item m="1" x="171"/>
        <item m="1" x="35"/>
        <item m="1" x="110"/>
        <item m="1" x="246"/>
        <item m="1" x="120"/>
        <item m="1" x="222"/>
        <item m="1" x="125"/>
        <item m="1" x="96"/>
        <item m="1" x="190"/>
        <item m="1" x="46"/>
        <item m="1" x="115"/>
        <item m="1" x="241"/>
        <item m="1" x="154"/>
        <item m="1" x="91"/>
        <item m="1" x="108"/>
        <item m="1" x="102"/>
        <item m="1" x="86"/>
        <item m="1" x="9"/>
        <item m="1" x="216"/>
        <item m="1" x="116"/>
        <item m="1" x="202"/>
        <item m="1" x="179"/>
        <item m="1" x="68"/>
        <item m="1" x="206"/>
        <item m="1" x="181"/>
        <item m="1" x="95"/>
        <item m="1" x="29"/>
        <item m="1" x="233"/>
        <item m="1" x="136"/>
        <item m="1" x="118"/>
        <item m="1" x="195"/>
        <item m="1" x="172"/>
        <item m="1" x="167"/>
        <item m="1" x="239"/>
        <item m="1" x="166"/>
        <item m="1" x="55"/>
        <item m="1" x="111"/>
        <item m="1" x="67"/>
        <item m="1" x="18"/>
        <item m="1" x="42"/>
        <item m="1" x="14"/>
        <item m="1" x="60"/>
        <item m="1" x="182"/>
        <item m="1" x="198"/>
        <item m="1" x="214"/>
        <item m="1" x="142"/>
        <item m="1" x="133"/>
        <item m="1" x="82"/>
        <item m="1" x="226"/>
        <item m="1" x="174"/>
        <item m="1" x="97"/>
        <item m="1" x="143"/>
        <item m="1" x="232"/>
        <item m="1" x="221"/>
        <item m="1" x="215"/>
        <item m="1" x="80"/>
        <item m="1" x="63"/>
        <item m="1" x="16"/>
        <item m="1" x="98"/>
        <item m="1" x="123"/>
        <item m="1" x="52"/>
        <item m="1" x="99"/>
        <item m="1" x="4"/>
        <item m="1" x="20"/>
        <item m="1" x="81"/>
        <item m="1" x="37"/>
        <item m="1" x="147"/>
        <item m="1" x="200"/>
        <item m="1" x="130"/>
        <item m="1" x="201"/>
        <item m="1" x="219"/>
        <item m="1" x="127"/>
        <item m="1" x="156"/>
        <item m="1" x="145"/>
        <item m="1" x="165"/>
        <item m="1" x="186"/>
        <item m="1" x="56"/>
        <item m="1" x="53"/>
        <item m="1" x="57"/>
        <item m="1" x="58"/>
        <item m="1" x="70"/>
        <item m="1" x="189"/>
        <item m="1" x="243"/>
        <item m="1" x="218"/>
        <item m="1" x="184"/>
        <item m="1" x="38"/>
        <item m="1" x="15"/>
        <item m="1" x="212"/>
        <item m="1" x="242"/>
        <item m="1" x="129"/>
        <item m="1" x="45"/>
        <item m="1" x="122"/>
        <item m="1" x="64"/>
        <item m="1" x="187"/>
        <item m="1" x="84"/>
        <item m="1" x="103"/>
        <item m="1" x="32"/>
        <item m="1" x="3"/>
        <item m="1" x="162"/>
        <item m="1" x="220"/>
        <item m="1" x="210"/>
        <item m="1" x="22"/>
        <item m="1" x="13"/>
        <item m="1" x="244"/>
        <item m="1" x="100"/>
        <item m="1" x="36"/>
        <item m="1" x="2"/>
        <item m="1" x="128"/>
        <item m="1" x="41"/>
        <item m="1" x="217"/>
        <item m="1" x="66"/>
        <item m="1" x="229"/>
        <item m="1" x="234"/>
        <item m="1" x="19"/>
        <item m="1" x="132"/>
        <item m="1" x="107"/>
        <item m="1" x="227"/>
        <item m="1" x="33"/>
        <item m="1" x="72"/>
        <item m="1" x="90"/>
        <item m="1" x="7"/>
        <item m="1" x="188"/>
        <item m="1" x="204"/>
        <item m="1" x="124"/>
        <item m="1" x="176"/>
        <item m="1" x="169"/>
        <item m="1" x="152"/>
        <item m="1" x="207"/>
        <item m="1" x="208"/>
        <item m="1" x="8"/>
        <item m="1" x="170"/>
        <item m="1" x="168"/>
        <item m="1" x="144"/>
        <item m="1" x="139"/>
        <item m="1" x="92"/>
        <item m="1" x="231"/>
        <item m="1" x="109"/>
        <item m="1" x="121"/>
        <item m="1" x="50"/>
        <item m="1" x="88"/>
        <item m="1" x="25"/>
        <item m="1" x="54"/>
        <item m="1" x="151"/>
        <item m="1" x="47"/>
        <item m="1" x="23"/>
        <item m="1" x="6"/>
        <item m="1" x="76"/>
        <item m="1" x="5"/>
        <item m="1" x="131"/>
        <item m="1" x="112"/>
        <item m="1" x="173"/>
        <item m="1" x="137"/>
        <item m="1" x="178"/>
        <item m="1" x="21"/>
        <item m="1" x="141"/>
        <item m="1" x="228"/>
        <item m="1" x="119"/>
        <item m="1" x="27"/>
        <item m="1" x="113"/>
        <item m="1" x="138"/>
        <item m="1" x="74"/>
        <item m="1" x="245"/>
        <item m="1" x="59"/>
        <item m="1" x="140"/>
        <item m="1" x="87"/>
        <item m="1" x="191"/>
        <item m="1" x="230"/>
        <item m="1" x="24"/>
        <item m="1" x="79"/>
        <item m="1" x="209"/>
        <item m="1" x="134"/>
        <item m="1" x="48"/>
        <item m="1" x="51"/>
        <item m="1" x="160"/>
        <item m="1" x="39"/>
        <item m="1" x="157"/>
        <item m="1" x="62"/>
        <item m="1" x="213"/>
        <item t="default"/>
      </items>
    </pivotField>
    <pivotField showAll="0"/>
    <pivotField showAll="0" defaultSubtotal="0"/>
    <pivotField showAll="0"/>
    <pivotField showAll="0"/>
    <pivotField showAll="0"/>
    <pivotField showAll="0" defaultSubtotal="0"/>
    <pivotField dataField="1" showAll="0"/>
    <pivotField showAll="0" defaultSubtotal="0"/>
    <pivotField numFmtId="164" showAll="0"/>
    <pivotField showAll="0" defaultSubtotal="0"/>
    <pivotField dataField="1" numFmtId="164" showAll="0" defaultSubtotal="0"/>
    <pivotField dataField="1" numFmtId="164" showAll="0" defaultSubtotal="0"/>
    <pivotField numFmtId="9" showAll="0" defaultSubtotal="0"/>
    <pivotField showAll="0" defaultSubtotal="0"/>
    <pivotField showAll="0" defaultSubtotal="0"/>
    <pivotField numFmtId="165" showAll="0"/>
    <pivotField numFmtId="164" showAll="0" defaultSubtotal="0"/>
    <pivotField numFmtId="164" showAll="0" defaultSubtotal="0"/>
    <pivotField showAll="0" defaultSubtotal="0"/>
    <pivotField showAll="0" defaultSubtotal="0"/>
    <pivotField showAll="0"/>
    <pivotField showAll="0"/>
    <pivotField showAll="0"/>
    <pivotField showAll="0"/>
    <pivotField numFmtId="165" showAll="0"/>
    <pivotField numFmtId="165" showAll="0"/>
    <pivotField showAll="0"/>
  </pivotFields>
  <rowFields count="3">
    <field x="1"/>
    <field x="0"/>
    <field x="3"/>
  </rowFields>
  <rowItems count="4">
    <i>
      <x v="45"/>
    </i>
    <i r="1">
      <x v="16"/>
    </i>
    <i r="2">
      <x v="3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act Awd" fld="10" subtotal="count" baseField="0" baseItem="0"/>
    <dataField name="Sum of Balance" fld="14" baseField="0" baseItem="0" numFmtId="166"/>
    <dataField name="Sum of Bal/PI" fld="15" baseField="0" baseItem="0" numFmtId="166"/>
  </dataFields>
  <formats count="6">
    <format dxfId="41">
      <pivotArea outline="0" collapsedLevelsAreSubtotals="1" fieldPosition="0"/>
    </format>
    <format dxfId="40">
      <pivotArea dataOnly="0" labelOnly="1" outline="0" axis="axisValues" fieldPosition="0"/>
    </format>
    <format dxfId="3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7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54">
    <queryTableFields count="31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53" dataBound="0" tableColumnId="31"/>
      <queryTableField id="6" name="awd_id" tableColumnId="6"/>
      <queryTableField id="35" name="inst_name" tableColumnId="28"/>
      <queryTableField id="7" name="tot_intn_awd_amt" tableColumnId="7"/>
      <queryTableField id="34" name="totPIs" tableColumnId="27"/>
      <queryTableField id="24" dataBound="0" tableColumnId="24"/>
      <queryTableField id="43" dataBound="0" tableColumnId="30"/>
      <queryTableField id="45" dataBound="0" tableColumnId="16"/>
      <queryTableField id="44" dataBound="0" tableColumnId="3"/>
      <queryTableField id="46" dataBound="0" tableColumnId="17"/>
      <queryTableField id="14" name="awd_exp_date" tableColumnId="14"/>
      <queryTableField id="32" name="totOblg_amt" tableColumnId="25"/>
      <queryTableField id="33" name="totCuml_xpnd_amt" tableColumnId="26"/>
      <queryTableField id="36" name="last_pymt_date" tableColumnId="29"/>
      <queryTableField id="51" dataBound="0" tableColumnId="23"/>
      <queryTableField id="8" name="last_prop_id" tableColumnId="8"/>
      <queryTableField id="9" name="org_code" tableColumnId="9"/>
      <queryTableField id="10" name="pgm_ele_code" tableColumnId="10"/>
      <queryTableField id="11" name="pm_ibm_logn_id" tableColumnId="11"/>
      <queryTableField id="12" name="awd_stts_date" tableColumnId="12"/>
      <queryTableField id="13" name="awd_eff_date" tableColumnId="13"/>
      <queryTableField id="18" name="awd_titl_txt" tableColumnId="18"/>
    </queryTableFields>
  </queryTableRefresh>
</queryTable>
</file>

<file path=xl/queryTables/queryTable2.xml><?xml version="1.0" encoding="utf-8"?>
<queryTable xmlns="http://schemas.openxmlformats.org/spreadsheetml/2006/main" name="Query from RPTSERVER" adjustColumnWidth="0" connectionId="2" autoFormatId="16" applyNumberFormats="0" applyBorderFormats="0" applyFontFormats="0" applyPatternFormats="0" applyAlignmentFormats="0" applyWidthHeightFormats="0">
  <queryTableRefresh nextId="78">
    <queryTableFields count="32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9" name="org_code" tableColumnId="9"/>
      <queryTableField id="10" name="pgm_ele_code" tableColumnId="10"/>
      <queryTableField id="11" name="pm_ibm_logn_id" tableColumnId="11"/>
      <queryTableField id="77" dataBound="0" tableColumnId="3"/>
      <queryTableField id="51" name="pend_id" tableColumnId="6"/>
      <queryTableField id="52" name="prop_stts_txt" tableColumnId="7"/>
      <queryTableField id="53" name="panl_id" tableColumnId="8"/>
      <queryTableField id="54" name="rcom_seq_num" tableColumnId="12"/>
      <queryTableField id="55" name="rcom_abbr" tableColumnId="13"/>
      <queryTableField id="70" name="rcom_awd_istr" tableColumnId="35"/>
      <queryTableField id="69" name="rqst_dol" tableColumnId="34"/>
      <queryTableField id="73" name="numPI" tableColumnId="36"/>
      <queryTableField id="74" dataBound="0" tableColumnId="37"/>
      <queryTableField id="56" name="rqst_mnth_cnt" tableColumnId="14"/>
      <queryTableField id="57" name="rcom_mnth_cnt" tableColumnId="18"/>
      <queryTableField id="63" name="nsf_rcvd_date" tableColumnId="29"/>
      <queryTableField id="61" name="pm_asgn_date" tableColumnId="27"/>
      <queryTableField id="59" name="rqst_eff_date" tableColumnId="25"/>
      <queryTableField id="60" name="rcom_eff_date" tableColumnId="26"/>
      <queryTableField id="62" name="pm_rcom_date" tableColumnId="28"/>
      <queryTableField id="64" name="prop_stts_code" tableColumnId="31"/>
      <queryTableField id="65" name="prop_stts_abbr" tableColumnId="32"/>
      <queryTableField id="66" name="prop_titl_txt" tableColumnId="3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1" displayName="Table1" ref="A8:C19" totalsRowShown="0" dataDxfId="31" tableBorderDxfId="30">
  <autoFilter ref="A8:C19"/>
  <tableColumns count="3">
    <tableColumn id="1" name="Proposal_IDs" dataDxfId="29"/>
    <tableColumn id="3" name="misc" dataDxfId="28"/>
    <tableColumn id="2" name="notes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wardTable" displayName="AwardTable" ref="A2:AE3" tableType="queryTable" totalsRowShown="0">
  <sortState ref="A3:AE3">
    <sortCondition ref="B2:B128"/>
  </sortState>
  <tableColumns count="31">
    <tableColumn id="1" uniqueName="1" name="lead" queryTableFieldId="1" dataDxfId="26"/>
    <tableColumn id="22" uniqueName="22" name="no" queryTableFieldId="49">
      <calculatedColumnFormula>MATCH(AwardTable[[#This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25"/>
    <tableColumn id="20" uniqueName="20" name="inst_name" queryTableFieldId="20" dataDxfId="24"/>
    <tableColumn id="31" uniqueName="31" name="eJ" queryTableFieldId="53" dataDxfId="23" dataCellStyle="Hyperlink">
      <calculatedColumnFormula>HYPERLINK(CONCATENATE("https://www.ejacket.nsf.gov/ej/showProposal.do?Continue=Y&amp;ID=",TEXT(SUBSTITUTE(AwardTable[[#This Row],[awd_id]],CHAR(160),""),"000000")),"eJ")</calculatedColumnFormula>
    </tableColumn>
    <tableColumn id="6" uniqueName="6" name="awd_id" queryTableFieldId="6"/>
    <tableColumn id="28" uniqueName="28" name="inst_name2" queryTableFieldId="35"/>
    <tableColumn id="7" uniqueName="7" name="tot_intn_awd_amt" queryTableFieldId="7" dataDxfId="22" dataCellStyle="Currency"/>
    <tableColumn id="27" uniqueName="27" name="totPIs" queryTableFieldId="34" dataDxfId="21" dataCellStyle="Currency"/>
    <tableColumn id="24" uniqueName="24" name="Balance" queryTableFieldId="24" dataDxfId="20" dataCellStyle="Currency">
      <calculatedColumnFormula>MAX(AwardTable[[#This Row],[tot_intn_awd_amt]],AwardTable[[#This Row],[totOblg_amt]])-AwardTable[[#This Row],[totCuml_xpnd_amt]]</calculatedColumnFormula>
    </tableColumn>
    <tableColumn id="30" uniqueName="30" name="Bal/PI" queryTableFieldId="43" dataDxfId="19" dataCellStyle="Currency">
      <calculatedColumnFormula>AwardTable[[#This Row],[Balance]]/AwardTable[[#This Row],[totPIs]]</calculatedColumnFormula>
    </tableColumn>
    <tableColumn id="16" uniqueName="16" name="$ Spent" queryTableFieldId="45" dataDxfId="18" dataCellStyle="Percent">
      <calculatedColumnFormula xml:space="preserve"> AwardTable[[#This Row],[totCuml_xpnd_amt]]/MAX(AwardTable[[#This Row],[tot_intn_awd_amt]],AwardTable[[#This Row],[totOblg_amt]])</calculatedColumnFormula>
    </tableColumn>
    <tableColumn id="3" uniqueName="3" name="Time Spent" queryTableFieldId="44" dataDxfId="17" dataCellStyle="Percent">
      <calculatedColumnFormula>IF(ISBLANK(AwardTable[[#This Row],[last_pymt_date]]),"",(AwardTable[[#This Row],[last_pymt_date]] - AwardTable[[#This Row],[awd_eff_date]])/ (AwardTable[[#This Row],[awd_exp_date]] - AwardTable[[#This Row],[awd_eff_date]]))</calculatedColumnFormula>
    </tableColumn>
    <tableColumn id="17" uniqueName="17" name="check" queryTableFieldId="46" dataDxfId="16" dataCellStyle="Percent">
      <calculatedColumnFormula>IFERROR(IF( AwardTable[[#This Row],[Time Spent]]-AwardTable[[#This Row],[$ Spent]] &gt; 0.15, "&lt;--",""),"")</calculatedColumnFormula>
    </tableColumn>
    <tableColumn id="14" uniqueName="14" name="awd_exp_date" queryTableFieldId="14" dataDxfId="15"/>
    <tableColumn id="25" uniqueName="25" name="totOblg_amt" queryTableFieldId="32" dataDxfId="14" dataCellStyle="Currency"/>
    <tableColumn id="26" uniqueName="26" name="totCuml_xpnd_amt" queryTableFieldId="33" dataDxfId="13" dataCellStyle="Currency"/>
    <tableColumn id="29" uniqueName="29" name="last_pymt_date" queryTableFieldId="36" dataDxfId="12"/>
    <tableColumn id="23" uniqueName="23" name="ej2" queryTableFieldId="51" dataCellStyle="Hyperlink">
      <calculatedColumnFormula>HYPERLINK(CONCATENATE("https://www.ejacket.nsf.gov/ej/showProposal.do?Continue=Y&amp;ID=",TEXT(SUBSTITUTE(AwardTable[[#This Row],[last_prop_id]],CHAR(160),""),"0000000")),"eJ")</calculatedColumnFormula>
    </tableColumn>
    <tableColumn id="8" uniqueName="8" name="last_prop_id" queryTableFieldId="8"/>
    <tableColumn id="9" uniqueName="9" name="org_code" queryTableFieldId="9"/>
    <tableColumn id="10" uniqueName="10" name="pgm_ele_code" queryTableFieldId="10"/>
    <tableColumn id="11" uniqueName="11" name="pm_ibm_logn_id" queryTableFieldId="11"/>
    <tableColumn id="12" uniqueName="12" name="awd_stts_date" queryTableFieldId="12" dataDxfId="11"/>
    <tableColumn id="13" uniqueName="13" name="awd_eff_date" queryTableFieldId="13" dataDxfId="10"/>
    <tableColumn id="18" uniqueName="18" name="awd_titl_txt" queryTableField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endingTable" displayName="PendingTable" ref="A2:AF3" tableType="queryTable" insertRow="1" totalsRowShown="0">
  <autoFilter ref="A2:AF3"/>
  <sortState ref="A3:AF3">
    <sortCondition ref="B2:B128"/>
  </sortState>
  <tableColumns count="32">
    <tableColumn id="1" uniqueName="1" name="lead" queryTableFieldId="1" dataDxfId="9"/>
    <tableColumn id="22" uniqueName="22" name="no" queryTableFieldId="49">
      <calculatedColumnFormula>MATCH(PendingTable[[#This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8"/>
    <tableColumn id="20" uniqueName="20" name="inst_name" queryTableFieldId="20" dataDxfId="7"/>
    <tableColumn id="9" uniqueName="9" name="org_code" queryTableFieldId="9"/>
    <tableColumn id="10" uniqueName="10" name="pgm_ele_code" queryTableFieldId="10"/>
    <tableColumn id="11" uniqueName="11" name="pm_ibm_logn_id" queryTableFieldId="11"/>
    <tableColumn id="3" uniqueName="3" name="ej" queryTableFieldId="77" dataCellStyle="Hyperlink">
      <calculatedColumnFormula>HYPERLINK(CONCATENATE("https://www.ejacket.nsf.gov/ej/showProposal.do?Continue=Y&amp;ID=",TEXT(SUBSTITUTE(PendingTable[[#This Row],[pend_id]],CHAR(160),""),"000000")),"eJ")</calculatedColumnFormula>
    </tableColumn>
    <tableColumn id="6" uniqueName="6" name="pend_id" queryTableFieldId="51"/>
    <tableColumn id="7" uniqueName="7" name="prop_stts_txt" queryTableFieldId="52"/>
    <tableColumn id="8" uniqueName="8" name="panl_id" queryTableFieldId="53"/>
    <tableColumn id="12" uniqueName="12" name="rcom_seq_num" queryTableFieldId="54"/>
    <tableColumn id="13" uniqueName="13" name="rcom_abbr" queryTableFieldId="55"/>
    <tableColumn id="35" uniqueName="35" name="rcom_awd_istr" queryTableFieldId="70"/>
    <tableColumn id="34" uniqueName="34" name="rqst_dol" queryTableFieldId="69" dataDxfId="6" dataCellStyle="Comma"/>
    <tableColumn id="36" uniqueName="36" name="numPI" queryTableFieldId="73"/>
    <tableColumn id="37" uniqueName="37" name="rqst/PI" queryTableFieldId="74" dataDxfId="5" dataCellStyle="Comma">
      <calculatedColumnFormula>PendingTable[[#This Row],[rqst_dol]]/PendingTable[[#This Row],[numPI]]</calculatedColumnFormula>
    </tableColumn>
    <tableColumn id="14" uniqueName="14" name="rqst_mnth_cnt" queryTableFieldId="56"/>
    <tableColumn id="18" uniqueName="18" name="rcom_mnth_cnt" queryTableFieldId="57"/>
    <tableColumn id="29" uniqueName="29" name="nsf_rcvd_date" queryTableFieldId="63" dataDxfId="4"/>
    <tableColumn id="27" uniqueName="27" name="pm_asgn_date" queryTableFieldId="61" dataDxfId="3"/>
    <tableColumn id="25" uniqueName="25" name="rqst_eff_date" queryTableFieldId="59" dataDxfId="2"/>
    <tableColumn id="26" uniqueName="26" name="rcom_eff_date" queryTableFieldId="60" dataDxfId="1"/>
    <tableColumn id="28" uniqueName="28" name="pm_rcom_date" queryTableFieldId="62" dataDxfId="0"/>
    <tableColumn id="31" uniqueName="31" name="prop_stts_code" queryTableFieldId="64"/>
    <tableColumn id="32" uniqueName="32" name="prop_stts_abbr" queryTableFieldId="65"/>
    <tableColumn id="33" uniqueName="33" name="prop_titl_txt" queryTableFieldId="6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11"/>
  <sheetViews>
    <sheetView workbookViewId="0">
      <selection activeCell="G32" sqref="G32"/>
    </sheetView>
  </sheetViews>
  <sheetFormatPr defaultRowHeight="14.6" x14ac:dyDescent="0.4"/>
  <cols>
    <col min="1" max="1" width="10.61328125" customWidth="1"/>
    <col min="2" max="2" width="5" style="15" customWidth="1"/>
    <col min="3" max="3" width="15.84375" customWidth="1"/>
    <col min="4" max="4" width="3.765625" customWidth="1"/>
    <col min="5" max="6" width="3.15234375" style="8" customWidth="1"/>
    <col min="7" max="7" width="14.07421875" customWidth="1"/>
    <col min="8" max="8" width="9.07421875" customWidth="1"/>
    <col min="9" max="9" width="14.921875" style="14" customWidth="1"/>
    <col min="10" max="10" width="13.4609375" style="14" customWidth="1"/>
    <col min="12" max="12" width="12.4609375" customWidth="1"/>
    <col min="13" max="13" width="6.53515625" customWidth="1"/>
    <col min="14" max="14" width="15.23046875" style="14" customWidth="1"/>
    <col min="15" max="15" width="14.07421875" style="14" customWidth="1"/>
    <col min="26" max="26" width="24.3828125" style="1" customWidth="1"/>
    <col min="27" max="27" width="24" customWidth="1"/>
    <col min="28" max="28" width="10" bestFit="1" customWidth="1"/>
  </cols>
  <sheetData>
    <row r="1" spans="1:26" x14ac:dyDescent="0.4">
      <c r="A1" t="s">
        <v>82</v>
      </c>
    </row>
    <row r="2" spans="1:26" x14ac:dyDescent="0.4">
      <c r="A2" t="s">
        <v>23</v>
      </c>
    </row>
    <row r="3" spans="1:26" x14ac:dyDescent="0.4">
      <c r="A3" t="s">
        <v>83</v>
      </c>
    </row>
    <row r="4" spans="1:26" x14ac:dyDescent="0.4">
      <c r="A4" t="s">
        <v>24</v>
      </c>
    </row>
    <row r="5" spans="1:26" x14ac:dyDescent="0.4">
      <c r="A5" t="s">
        <v>84</v>
      </c>
    </row>
    <row r="6" spans="1:26" s="15" customFormat="1" x14ac:dyDescent="0.4">
      <c r="E6" s="8"/>
      <c r="F6" s="8"/>
      <c r="I6" s="24"/>
      <c r="J6" s="24"/>
      <c r="N6" s="24"/>
      <c r="O6" s="24"/>
      <c r="Z6" s="1"/>
    </row>
    <row r="7" spans="1:26" x14ac:dyDescent="0.4">
      <c r="B7" s="27" t="s">
        <v>81</v>
      </c>
      <c r="C7" s="27" t="s">
        <v>81</v>
      </c>
    </row>
    <row r="8" spans="1:26" x14ac:dyDescent="0.4">
      <c r="A8" t="s">
        <v>0</v>
      </c>
      <c r="B8" s="15" t="s">
        <v>79</v>
      </c>
      <c r="C8" t="s">
        <v>78</v>
      </c>
      <c r="G8" s="6" t="s">
        <v>41</v>
      </c>
      <c r="L8" t="s">
        <v>64</v>
      </c>
      <c r="Z8"/>
    </row>
    <row r="9" spans="1:26" ht="15.45" x14ac:dyDescent="0.4">
      <c r="A9" s="29">
        <v>1111111</v>
      </c>
      <c r="B9" s="26"/>
      <c r="C9" s="15"/>
      <c r="D9" s="9"/>
      <c r="E9" s="9"/>
      <c r="F9" s="9"/>
      <c r="G9" t="s">
        <v>42</v>
      </c>
      <c r="H9" s="4"/>
      <c r="Z9"/>
    </row>
    <row r="10" spans="1:26" x14ac:dyDescent="0.4">
      <c r="A10" s="39">
        <v>1234567</v>
      </c>
      <c r="B10" s="40"/>
      <c r="C10" s="41"/>
      <c r="D10" s="9"/>
      <c r="E10" s="9"/>
      <c r="F10" s="9"/>
      <c r="H10" s="5" t="s">
        <v>32</v>
      </c>
      <c r="Z10"/>
    </row>
    <row r="11" spans="1:26" x14ac:dyDescent="0.4">
      <c r="A11" s="36" t="s">
        <v>110</v>
      </c>
      <c r="B11" s="37"/>
      <c r="C11" s="38"/>
      <c r="D11" s="9"/>
      <c r="E11" s="9"/>
      <c r="F11" s="9"/>
      <c r="G11" s="18" t="s">
        <v>19</v>
      </c>
      <c r="H11" s="21" t="s">
        <v>76</v>
      </c>
      <c r="I11" s="25" t="s">
        <v>22</v>
      </c>
      <c r="J11" s="25" t="s">
        <v>31</v>
      </c>
      <c r="L11" s="18" t="s">
        <v>19</v>
      </c>
      <c r="M11" s="15" t="s">
        <v>75</v>
      </c>
      <c r="N11" s="25" t="s">
        <v>67</v>
      </c>
      <c r="O11" s="25" t="s">
        <v>74</v>
      </c>
      <c r="Z11"/>
    </row>
    <row r="12" spans="1:26" x14ac:dyDescent="0.4">
      <c r="A12" s="36" t="s">
        <v>111</v>
      </c>
      <c r="B12" s="37"/>
      <c r="C12" s="38"/>
      <c r="D12" s="9"/>
      <c r="E12" s="9"/>
      <c r="F12" s="9"/>
      <c r="G12" s="19" t="s">
        <v>87</v>
      </c>
      <c r="H12" s="21"/>
      <c r="I12" s="25"/>
      <c r="J12" s="25"/>
      <c r="L12" s="19" t="s">
        <v>99</v>
      </c>
      <c r="M12" s="21"/>
      <c r="N12" s="25"/>
      <c r="O12" s="25"/>
      <c r="Z12"/>
    </row>
    <row r="13" spans="1:26" x14ac:dyDescent="0.4">
      <c r="A13" s="36" t="s">
        <v>112</v>
      </c>
      <c r="B13" s="37"/>
      <c r="C13" s="38"/>
      <c r="D13" s="9"/>
      <c r="E13" s="9"/>
      <c r="F13" s="9"/>
      <c r="G13" s="20" t="s">
        <v>88</v>
      </c>
      <c r="H13" s="21">
        <v>1</v>
      </c>
      <c r="I13" s="25">
        <v>49.839999999996508</v>
      </c>
      <c r="J13" s="25">
        <v>24.919999999998254</v>
      </c>
      <c r="L13" s="20" t="s">
        <v>99</v>
      </c>
      <c r="M13" s="21"/>
      <c r="N13" s="25"/>
      <c r="O13" s="25"/>
      <c r="Z13"/>
    </row>
    <row r="14" spans="1:26" x14ac:dyDescent="0.4">
      <c r="A14" s="36" t="s">
        <v>113</v>
      </c>
      <c r="B14" s="37"/>
      <c r="C14" s="38"/>
      <c r="D14" s="9"/>
      <c r="E14" s="9"/>
      <c r="F14" s="9"/>
      <c r="G14" s="23" t="s">
        <v>90</v>
      </c>
      <c r="H14" s="21">
        <v>1</v>
      </c>
      <c r="I14" s="25">
        <v>49.839999999996508</v>
      </c>
      <c r="J14" s="25">
        <v>24.919999999998254</v>
      </c>
      <c r="L14" s="23" t="s">
        <v>99</v>
      </c>
      <c r="M14" s="21"/>
      <c r="N14" s="25"/>
      <c r="O14" s="25"/>
      <c r="Z14"/>
    </row>
    <row r="15" spans="1:26" x14ac:dyDescent="0.4">
      <c r="A15" s="36" t="s">
        <v>114</v>
      </c>
      <c r="B15" s="37"/>
      <c r="C15" s="38"/>
      <c r="D15" s="9"/>
      <c r="E15" s="9"/>
      <c r="F15" s="9"/>
      <c r="G15" s="19" t="s">
        <v>20</v>
      </c>
      <c r="H15" s="21">
        <v>1</v>
      </c>
      <c r="I15" s="25">
        <v>49.839999999996508</v>
      </c>
      <c r="J15" s="25">
        <v>24.919999999998254</v>
      </c>
      <c r="L15" s="19" t="s">
        <v>20</v>
      </c>
      <c r="M15" s="21"/>
      <c r="N15" s="25"/>
      <c r="O15" s="25"/>
      <c r="Z15"/>
    </row>
    <row r="16" spans="1:26" x14ac:dyDescent="0.4">
      <c r="A16" s="36" t="s">
        <v>115</v>
      </c>
      <c r="B16" s="37"/>
      <c r="C16" s="38"/>
      <c r="D16" s="9"/>
      <c r="E16" s="9"/>
      <c r="F16" s="9"/>
      <c r="I16"/>
      <c r="J16"/>
      <c r="N16"/>
      <c r="O16"/>
      <c r="Z16"/>
    </row>
    <row r="17" spans="1:26" x14ac:dyDescent="0.4">
      <c r="A17" s="36" t="s">
        <v>116</v>
      </c>
      <c r="B17" s="37"/>
      <c r="C17" s="38"/>
      <c r="D17" s="9"/>
      <c r="E17" s="9"/>
      <c r="F17" s="9"/>
      <c r="I17"/>
      <c r="J17"/>
      <c r="N17"/>
      <c r="O17"/>
      <c r="Z17"/>
    </row>
    <row r="18" spans="1:26" x14ac:dyDescent="0.4">
      <c r="A18" s="36" t="s">
        <v>117</v>
      </c>
      <c r="B18" s="37"/>
      <c r="C18" s="38"/>
      <c r="D18" s="9"/>
      <c r="E18" s="9"/>
      <c r="F18" s="9"/>
      <c r="I18"/>
      <c r="J18"/>
      <c r="N18"/>
      <c r="O18"/>
      <c r="Z18"/>
    </row>
    <row r="19" spans="1:26" x14ac:dyDescent="0.4">
      <c r="A19" s="36" t="s">
        <v>118</v>
      </c>
      <c r="B19" s="40"/>
      <c r="C19" s="38"/>
      <c r="D19" s="9"/>
      <c r="E19" s="9"/>
      <c r="F19" s="9"/>
      <c r="I19"/>
      <c r="J19"/>
      <c r="N19"/>
      <c r="O19"/>
      <c r="Z19"/>
    </row>
    <row r="20" spans="1:26" x14ac:dyDescent="0.4">
      <c r="B20"/>
      <c r="D20" s="9"/>
      <c r="E20" s="9"/>
      <c r="F20" s="9"/>
      <c r="I20"/>
      <c r="J20"/>
      <c r="N20"/>
      <c r="O20"/>
      <c r="Z20"/>
    </row>
    <row r="21" spans="1:26" x14ac:dyDescent="0.4">
      <c r="B21"/>
      <c r="D21" s="9"/>
      <c r="E21" s="9"/>
      <c r="F21" s="9"/>
      <c r="I21"/>
      <c r="J21"/>
      <c r="N21"/>
      <c r="O21"/>
      <c r="Z21"/>
    </row>
    <row r="22" spans="1:26" x14ac:dyDescent="0.4">
      <c r="B22"/>
      <c r="D22" s="9"/>
      <c r="E22" s="9"/>
      <c r="F22" s="9"/>
      <c r="I22"/>
      <c r="J22"/>
      <c r="N22"/>
      <c r="O22"/>
      <c r="Z22"/>
    </row>
    <row r="23" spans="1:26" x14ac:dyDescent="0.4">
      <c r="B23"/>
      <c r="D23" s="9"/>
      <c r="E23" s="9"/>
      <c r="F23" s="9"/>
      <c r="I23"/>
      <c r="J23"/>
      <c r="N23"/>
      <c r="O23"/>
      <c r="Z23"/>
    </row>
    <row r="24" spans="1:26" x14ac:dyDescent="0.4">
      <c r="B24"/>
      <c r="D24" s="9"/>
      <c r="E24" s="9"/>
      <c r="F24" s="9"/>
      <c r="I24"/>
      <c r="J24"/>
      <c r="N24"/>
      <c r="O24"/>
      <c r="Z24"/>
    </row>
    <row r="25" spans="1:26" x14ac:dyDescent="0.4">
      <c r="B25"/>
      <c r="D25" s="9"/>
      <c r="E25" s="9"/>
      <c r="F25" s="9"/>
      <c r="I25"/>
      <c r="J25"/>
      <c r="N25"/>
      <c r="O25"/>
      <c r="Z25"/>
    </row>
    <row r="26" spans="1:26" x14ac:dyDescent="0.4">
      <c r="B26"/>
      <c r="D26" s="9"/>
      <c r="E26" s="9"/>
      <c r="F26" s="9"/>
      <c r="I26"/>
      <c r="J26"/>
      <c r="N26"/>
      <c r="O26"/>
      <c r="Z26"/>
    </row>
    <row r="27" spans="1:26" x14ac:dyDescent="0.4">
      <c r="B27"/>
      <c r="D27" s="9"/>
      <c r="E27" s="9"/>
      <c r="F27" s="9"/>
      <c r="I27"/>
      <c r="J27"/>
      <c r="N27"/>
      <c r="O27"/>
      <c r="Z27"/>
    </row>
    <row r="28" spans="1:26" x14ac:dyDescent="0.4">
      <c r="B28"/>
      <c r="D28" s="9"/>
      <c r="E28" s="9"/>
      <c r="F28" s="9"/>
      <c r="I28"/>
      <c r="J28"/>
      <c r="N28"/>
      <c r="O28"/>
      <c r="Z28"/>
    </row>
    <row r="29" spans="1:26" x14ac:dyDescent="0.4">
      <c r="B29"/>
      <c r="D29" s="9"/>
      <c r="E29" s="9"/>
      <c r="F29" s="9"/>
      <c r="I29"/>
      <c r="J29"/>
      <c r="N29"/>
      <c r="O29"/>
      <c r="Z29"/>
    </row>
    <row r="30" spans="1:26" x14ac:dyDescent="0.4">
      <c r="B30"/>
      <c r="D30" s="9"/>
      <c r="E30" s="9"/>
      <c r="F30" s="9"/>
      <c r="I30"/>
      <c r="J30"/>
      <c r="N30"/>
      <c r="O30"/>
      <c r="Z30"/>
    </row>
    <row r="31" spans="1:26" x14ac:dyDescent="0.4">
      <c r="B31"/>
      <c r="D31" s="9"/>
      <c r="E31" s="9"/>
      <c r="F31" s="9"/>
      <c r="I31"/>
      <c r="J31"/>
      <c r="N31"/>
      <c r="O31"/>
      <c r="Z31"/>
    </row>
    <row r="32" spans="1:26" x14ac:dyDescent="0.4">
      <c r="B32"/>
      <c r="D32" s="9"/>
      <c r="E32" s="9"/>
      <c r="F32" s="9"/>
      <c r="I32"/>
      <c r="J32"/>
      <c r="N32"/>
      <c r="O32"/>
      <c r="Z32"/>
    </row>
    <row r="33" spans="2:30" x14ac:dyDescent="0.4">
      <c r="B33"/>
      <c r="D33" s="9"/>
      <c r="E33" s="9"/>
      <c r="F33" s="9"/>
      <c r="I33"/>
      <c r="J33"/>
      <c r="N33"/>
      <c r="O33"/>
      <c r="Z33"/>
    </row>
    <row r="34" spans="2:30" x14ac:dyDescent="0.4">
      <c r="B34"/>
      <c r="D34" s="9"/>
      <c r="E34" s="9"/>
      <c r="F34" s="9"/>
      <c r="I34"/>
      <c r="J34"/>
      <c r="N34"/>
      <c r="O34"/>
      <c r="Z34"/>
    </row>
    <row r="35" spans="2:30" x14ac:dyDescent="0.4">
      <c r="B35"/>
      <c r="D35" s="9"/>
      <c r="E35" s="9"/>
      <c r="F35" s="9"/>
      <c r="I35"/>
      <c r="J35"/>
      <c r="N35"/>
      <c r="O35"/>
      <c r="Z35"/>
    </row>
    <row r="36" spans="2:30" x14ac:dyDescent="0.4">
      <c r="B36"/>
      <c r="D36" s="9"/>
      <c r="E36" s="9"/>
      <c r="F36" s="9"/>
      <c r="I36"/>
      <c r="J36"/>
      <c r="N36"/>
      <c r="O36"/>
      <c r="Z36"/>
    </row>
    <row r="37" spans="2:30" x14ac:dyDescent="0.4">
      <c r="B37"/>
      <c r="D37" s="9"/>
      <c r="E37" s="9"/>
      <c r="F37" s="9"/>
      <c r="I37"/>
      <c r="J37"/>
      <c r="N37"/>
      <c r="O37"/>
      <c r="Z37"/>
    </row>
    <row r="38" spans="2:30" x14ac:dyDescent="0.4">
      <c r="B38"/>
      <c r="D38" s="9"/>
      <c r="E38" s="9"/>
      <c r="F38" s="9"/>
      <c r="I38"/>
      <c r="J38"/>
      <c r="N38"/>
      <c r="O38"/>
      <c r="Z38"/>
    </row>
    <row r="39" spans="2:30" x14ac:dyDescent="0.4">
      <c r="B39"/>
      <c r="D39" s="9"/>
      <c r="E39" s="9"/>
      <c r="F39" s="9"/>
      <c r="I39"/>
      <c r="J39"/>
      <c r="N39"/>
      <c r="O39"/>
      <c r="Z39"/>
    </row>
    <row r="40" spans="2:30" x14ac:dyDescent="0.4">
      <c r="B40"/>
      <c r="D40" s="9"/>
      <c r="E40" s="9"/>
      <c r="F40" s="9"/>
      <c r="I40"/>
      <c r="J40"/>
      <c r="N40"/>
      <c r="O40"/>
      <c r="Z40"/>
    </row>
    <row r="41" spans="2:30" x14ac:dyDescent="0.4">
      <c r="B41"/>
      <c r="D41" s="9"/>
      <c r="E41" s="9"/>
      <c r="F41" s="9"/>
      <c r="I41"/>
      <c r="J41"/>
      <c r="N41"/>
      <c r="O41"/>
      <c r="Z41"/>
    </row>
    <row r="42" spans="2:30" x14ac:dyDescent="0.4">
      <c r="B42"/>
      <c r="D42" s="9"/>
      <c r="E42" s="9"/>
      <c r="F42" s="9"/>
      <c r="I42"/>
      <c r="J42"/>
      <c r="N42"/>
      <c r="O42"/>
      <c r="Z42"/>
    </row>
    <row r="43" spans="2:30" x14ac:dyDescent="0.4">
      <c r="B43"/>
      <c r="D43" s="9"/>
      <c r="E43" s="9"/>
      <c r="F43" s="9"/>
      <c r="I43"/>
      <c r="J43"/>
      <c r="N43"/>
      <c r="O43"/>
      <c r="Z43"/>
    </row>
    <row r="44" spans="2:30" x14ac:dyDescent="0.4">
      <c r="B44"/>
      <c r="E44" s="9"/>
      <c r="F44" s="9"/>
      <c r="I44"/>
      <c r="J44"/>
      <c r="N44"/>
      <c r="O44"/>
      <c r="Z44"/>
    </row>
    <row r="45" spans="2:30" x14ac:dyDescent="0.4">
      <c r="B45"/>
      <c r="E45" s="9"/>
      <c r="F45" s="9"/>
      <c r="I45"/>
      <c r="J45"/>
      <c r="N45"/>
      <c r="O45"/>
      <c r="Z45"/>
    </row>
    <row r="46" spans="2:30" x14ac:dyDescent="0.4">
      <c r="E46" s="9"/>
      <c r="F46" s="9"/>
      <c r="I46"/>
      <c r="J46"/>
      <c r="N46"/>
      <c r="O46"/>
      <c r="Z46"/>
      <c r="AD46" s="1"/>
    </row>
    <row r="47" spans="2:30" x14ac:dyDescent="0.4">
      <c r="E47" s="9"/>
      <c r="F47" s="9"/>
      <c r="I47"/>
      <c r="J47"/>
      <c r="N47"/>
      <c r="O47"/>
      <c r="Z47"/>
      <c r="AD47" s="1"/>
    </row>
    <row r="48" spans="2:30" x14ac:dyDescent="0.4">
      <c r="E48" s="9"/>
      <c r="F48" s="9"/>
      <c r="I48"/>
      <c r="J48"/>
      <c r="N48"/>
      <c r="O48"/>
      <c r="Z48"/>
      <c r="AD48" s="1"/>
    </row>
    <row r="49" spans="5:30" x14ac:dyDescent="0.4">
      <c r="E49" s="9"/>
      <c r="F49" s="9"/>
      <c r="I49"/>
      <c r="J49"/>
      <c r="N49"/>
      <c r="O49"/>
      <c r="Z49"/>
      <c r="AD49" s="1"/>
    </row>
    <row r="50" spans="5:30" x14ac:dyDescent="0.4">
      <c r="E50" s="9"/>
      <c r="F50" s="9"/>
      <c r="I50"/>
      <c r="J50"/>
      <c r="N50"/>
      <c r="O50"/>
      <c r="Z50"/>
      <c r="AD50" s="1"/>
    </row>
    <row r="51" spans="5:30" x14ac:dyDescent="0.4">
      <c r="E51" s="9"/>
      <c r="F51" s="9"/>
      <c r="I51"/>
      <c r="J51"/>
      <c r="N51"/>
      <c r="O51"/>
      <c r="Z51"/>
      <c r="AD51" s="1"/>
    </row>
    <row r="52" spans="5:30" x14ac:dyDescent="0.4">
      <c r="E52" s="9"/>
      <c r="F52" s="9"/>
      <c r="I52"/>
      <c r="J52"/>
      <c r="N52"/>
      <c r="O52"/>
      <c r="Z52"/>
      <c r="AD52" s="1"/>
    </row>
    <row r="53" spans="5:30" x14ac:dyDescent="0.4">
      <c r="E53" s="9"/>
      <c r="F53" s="9"/>
      <c r="I53"/>
      <c r="J53"/>
      <c r="N53"/>
      <c r="O53"/>
      <c r="Z53"/>
      <c r="AD53" s="1"/>
    </row>
    <row r="54" spans="5:30" x14ac:dyDescent="0.4">
      <c r="E54" s="9"/>
      <c r="F54" s="9"/>
      <c r="I54"/>
      <c r="J54"/>
      <c r="N54"/>
      <c r="O54"/>
      <c r="Z54"/>
      <c r="AD54" s="1"/>
    </row>
    <row r="55" spans="5:30" x14ac:dyDescent="0.4">
      <c r="E55" s="9"/>
      <c r="F55" s="9"/>
      <c r="I55"/>
      <c r="J55"/>
      <c r="N55"/>
      <c r="O55"/>
      <c r="Z55"/>
      <c r="AD55" s="1"/>
    </row>
    <row r="56" spans="5:30" x14ac:dyDescent="0.4">
      <c r="E56" s="9"/>
      <c r="F56" s="9"/>
      <c r="I56"/>
      <c r="J56"/>
      <c r="N56"/>
      <c r="O56"/>
      <c r="Z56"/>
      <c r="AD56" s="1"/>
    </row>
    <row r="57" spans="5:30" x14ac:dyDescent="0.4">
      <c r="E57" s="9"/>
      <c r="F57" s="9"/>
      <c r="I57"/>
      <c r="J57"/>
      <c r="N57"/>
      <c r="O57"/>
      <c r="Z57"/>
      <c r="AD57" s="1"/>
    </row>
    <row r="58" spans="5:30" x14ac:dyDescent="0.4">
      <c r="E58" s="9"/>
      <c r="F58" s="9"/>
      <c r="I58"/>
      <c r="J58"/>
      <c r="N58"/>
      <c r="O58"/>
      <c r="Z58"/>
      <c r="AD58" s="1"/>
    </row>
    <row r="59" spans="5:30" x14ac:dyDescent="0.4">
      <c r="E59" s="9"/>
      <c r="F59" s="9"/>
      <c r="I59"/>
      <c r="J59"/>
      <c r="N59"/>
      <c r="O59"/>
      <c r="Z59"/>
      <c r="AD59" s="1"/>
    </row>
    <row r="60" spans="5:30" x14ac:dyDescent="0.4">
      <c r="E60" s="9"/>
      <c r="F60" s="9"/>
      <c r="I60"/>
      <c r="J60"/>
      <c r="N60"/>
      <c r="O60"/>
      <c r="Z60"/>
      <c r="AD60" s="1"/>
    </row>
    <row r="61" spans="5:30" x14ac:dyDescent="0.4">
      <c r="E61" s="9"/>
      <c r="F61" s="9"/>
      <c r="I61"/>
      <c r="J61"/>
      <c r="N61"/>
      <c r="O61"/>
      <c r="Z61"/>
      <c r="AD61" s="1"/>
    </row>
    <row r="62" spans="5:30" x14ac:dyDescent="0.4">
      <c r="E62" s="9"/>
      <c r="F62" s="9"/>
      <c r="I62"/>
      <c r="J62"/>
      <c r="N62"/>
      <c r="O62"/>
      <c r="Z62"/>
      <c r="AD62" s="1"/>
    </row>
    <row r="63" spans="5:30" x14ac:dyDescent="0.4">
      <c r="E63" s="9"/>
      <c r="F63" s="9"/>
      <c r="I63"/>
      <c r="J63"/>
      <c r="N63"/>
      <c r="O63"/>
      <c r="Z63"/>
      <c r="AD63" s="1"/>
    </row>
    <row r="64" spans="5:30" x14ac:dyDescent="0.4">
      <c r="E64" s="9"/>
      <c r="F64" s="9"/>
      <c r="I64"/>
      <c r="J64"/>
      <c r="N64"/>
      <c r="O64"/>
      <c r="Z64"/>
      <c r="AD64" s="1"/>
    </row>
    <row r="65" spans="5:30" x14ac:dyDescent="0.4">
      <c r="E65" s="9"/>
      <c r="F65" s="9"/>
      <c r="I65"/>
      <c r="J65"/>
      <c r="N65"/>
      <c r="O65"/>
      <c r="Z65"/>
      <c r="AD65" s="1"/>
    </row>
    <row r="66" spans="5:30" x14ac:dyDescent="0.4">
      <c r="I66"/>
      <c r="J66"/>
      <c r="N66"/>
      <c r="O66"/>
    </row>
    <row r="67" spans="5:30" x14ac:dyDescent="0.4">
      <c r="I67"/>
      <c r="J67"/>
      <c r="N67"/>
      <c r="O67"/>
    </row>
    <row r="68" spans="5:30" x14ac:dyDescent="0.4">
      <c r="I68"/>
      <c r="J68"/>
      <c r="N68"/>
      <c r="O68"/>
    </row>
    <row r="69" spans="5:30" x14ac:dyDescent="0.4">
      <c r="I69"/>
      <c r="J69"/>
      <c r="N69"/>
      <c r="O69"/>
    </row>
    <row r="70" spans="5:30" x14ac:dyDescent="0.4">
      <c r="I70"/>
      <c r="J70"/>
      <c r="N70"/>
      <c r="O70"/>
    </row>
    <row r="71" spans="5:30" x14ac:dyDescent="0.4">
      <c r="I71"/>
      <c r="J71"/>
      <c r="N71"/>
      <c r="O71"/>
    </row>
    <row r="72" spans="5:30" x14ac:dyDescent="0.4">
      <c r="I72"/>
      <c r="J72"/>
    </row>
    <row r="73" spans="5:30" x14ac:dyDescent="0.4">
      <c r="I73"/>
      <c r="J73"/>
    </row>
    <row r="74" spans="5:30" x14ac:dyDescent="0.4">
      <c r="I74"/>
      <c r="J74"/>
    </row>
    <row r="75" spans="5:30" x14ac:dyDescent="0.4">
      <c r="I75"/>
      <c r="J75"/>
    </row>
    <row r="76" spans="5:30" x14ac:dyDescent="0.4">
      <c r="I76"/>
      <c r="J76"/>
    </row>
    <row r="77" spans="5:30" x14ac:dyDescent="0.4">
      <c r="I77"/>
      <c r="J77"/>
    </row>
    <row r="78" spans="5:30" x14ac:dyDescent="0.4">
      <c r="I78"/>
      <c r="J78"/>
    </row>
    <row r="79" spans="5:30" x14ac:dyDescent="0.4">
      <c r="I79"/>
      <c r="J79"/>
    </row>
    <row r="80" spans="5:30" x14ac:dyDescent="0.4">
      <c r="I80"/>
      <c r="J80"/>
    </row>
    <row r="81" spans="9:10" x14ac:dyDescent="0.4">
      <c r="I81"/>
      <c r="J81"/>
    </row>
    <row r="82" spans="9:10" x14ac:dyDescent="0.4">
      <c r="I82"/>
      <c r="J82"/>
    </row>
    <row r="83" spans="9:10" x14ac:dyDescent="0.4">
      <c r="I83"/>
      <c r="J83"/>
    </row>
    <row r="84" spans="9:10" x14ac:dyDescent="0.4">
      <c r="I84"/>
      <c r="J84"/>
    </row>
    <row r="85" spans="9:10" x14ac:dyDescent="0.4">
      <c r="I85"/>
      <c r="J85"/>
    </row>
    <row r="86" spans="9:10" x14ac:dyDescent="0.4">
      <c r="I86"/>
      <c r="J86"/>
    </row>
    <row r="87" spans="9:10" x14ac:dyDescent="0.4">
      <c r="I87"/>
      <c r="J87"/>
    </row>
    <row r="88" spans="9:10" x14ac:dyDescent="0.4">
      <c r="I88"/>
      <c r="J88"/>
    </row>
    <row r="89" spans="9:10" x14ac:dyDescent="0.4">
      <c r="I89"/>
      <c r="J89"/>
    </row>
    <row r="90" spans="9:10" x14ac:dyDescent="0.4">
      <c r="I90"/>
      <c r="J90"/>
    </row>
    <row r="91" spans="9:10" x14ac:dyDescent="0.4">
      <c r="I91"/>
      <c r="J91"/>
    </row>
    <row r="92" spans="9:10" x14ac:dyDescent="0.4">
      <c r="I92"/>
      <c r="J92"/>
    </row>
    <row r="93" spans="9:10" x14ac:dyDescent="0.4">
      <c r="I93"/>
      <c r="J93"/>
    </row>
    <row r="94" spans="9:10" x14ac:dyDescent="0.4">
      <c r="I94"/>
      <c r="J94"/>
    </row>
    <row r="95" spans="9:10" x14ac:dyDescent="0.4">
      <c r="I95"/>
      <c r="J95"/>
    </row>
    <row r="96" spans="9:10" x14ac:dyDescent="0.4">
      <c r="I96"/>
      <c r="J96"/>
    </row>
    <row r="97" spans="9:10" x14ac:dyDescent="0.4">
      <c r="I97"/>
      <c r="J97"/>
    </row>
    <row r="98" spans="9:10" x14ac:dyDescent="0.4">
      <c r="I98"/>
      <c r="J98"/>
    </row>
    <row r="99" spans="9:10" x14ac:dyDescent="0.4">
      <c r="I99"/>
      <c r="J99"/>
    </row>
    <row r="100" spans="9:10" x14ac:dyDescent="0.4">
      <c r="I100"/>
      <c r="J100"/>
    </row>
    <row r="101" spans="9:10" x14ac:dyDescent="0.4">
      <c r="I101"/>
      <c r="J101"/>
    </row>
    <row r="102" spans="9:10" x14ac:dyDescent="0.4">
      <c r="I102"/>
      <c r="J102"/>
    </row>
    <row r="103" spans="9:10" x14ac:dyDescent="0.4">
      <c r="I103"/>
      <c r="J103"/>
    </row>
    <row r="104" spans="9:10" x14ac:dyDescent="0.4">
      <c r="I104"/>
      <c r="J104"/>
    </row>
    <row r="105" spans="9:10" x14ac:dyDescent="0.4">
      <c r="I105"/>
      <c r="J105"/>
    </row>
    <row r="106" spans="9:10" x14ac:dyDescent="0.4">
      <c r="I106"/>
      <c r="J106"/>
    </row>
    <row r="107" spans="9:10" x14ac:dyDescent="0.4">
      <c r="I107"/>
      <c r="J107"/>
    </row>
    <row r="108" spans="9:10" x14ac:dyDescent="0.4">
      <c r="I108"/>
      <c r="J108"/>
    </row>
    <row r="109" spans="9:10" x14ac:dyDescent="0.4">
      <c r="I109"/>
      <c r="J109"/>
    </row>
    <row r="110" spans="9:10" x14ac:dyDescent="0.4">
      <c r="I110"/>
      <c r="J110"/>
    </row>
    <row r="111" spans="9:10" x14ac:dyDescent="0.4">
      <c r="I111"/>
      <c r="J111"/>
    </row>
  </sheetData>
  <conditionalFormatting sqref="D42:D43">
    <cfRule type="expression" dxfId="44" priority="8">
      <formula>MOD($L44,2)</formula>
    </cfRule>
  </conditionalFormatting>
  <conditionalFormatting sqref="D9:F9">
    <cfRule type="expression" dxfId="43" priority="13">
      <formula>MOD($L8,2)</formula>
    </cfRule>
  </conditionalFormatting>
  <conditionalFormatting sqref="B9:C19">
    <cfRule type="expression" dxfId="42" priority="1">
      <formula>MOD($N9,2)</formula>
    </cfRule>
  </conditionalFormatting>
  <pageMargins left="0.7" right="0.7" top="0.75" bottom="0.75" header="0.3" footer="0.3"/>
  <pageSetup orientation="portrait" horizontalDpi="4294967295" verticalDpi="4294967295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PI_AwdOblg">
                <anchor moveWithCells="1">
                  <from>
                    <xdr:col>4</xdr:col>
                    <xdr:colOff>0</xdr:colOff>
                    <xdr:row>4</xdr:row>
                    <xdr:rowOff>141514</xdr:rowOff>
                  </from>
                  <to>
                    <xdr:col>6</xdr:col>
                    <xdr:colOff>658586</xdr:colOff>
                    <xdr:row>6</xdr:row>
                    <xdr:rowOff>179614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U128"/>
  <sheetViews>
    <sheetView workbookViewId="0">
      <selection activeCell="E3" sqref="E3"/>
    </sheetView>
  </sheetViews>
  <sheetFormatPr defaultRowHeight="14.6" x14ac:dyDescent="0.4"/>
  <cols>
    <col min="2" max="2" width="6.23046875" style="12" customWidth="1"/>
    <col min="4" max="4" width="10.15234375" customWidth="1"/>
    <col min="5" max="5" width="11" customWidth="1"/>
    <col min="6" max="6" width="9.84375" customWidth="1"/>
    <col min="7" max="7" width="3.15234375" customWidth="1"/>
    <col min="8" max="8" width="10.15234375" customWidth="1"/>
    <col min="9" max="9" width="18.84375" customWidth="1"/>
    <col min="10" max="10" width="3.3828125" style="15" customWidth="1"/>
    <col min="11" max="11" width="9.765625" customWidth="1"/>
    <col min="12" max="12" width="19.15234375" customWidth="1"/>
    <col min="13" max="13" width="13.84375" customWidth="1"/>
    <col min="14" max="14" width="4.15234375" style="1" customWidth="1"/>
    <col min="15" max="15" width="12.84375" style="4" customWidth="1"/>
    <col min="16" max="16" width="12.84375" style="1" customWidth="1"/>
    <col min="17" max="17" width="8.3828125" style="1" customWidth="1"/>
    <col min="18" max="18" width="6.61328125" style="11" customWidth="1"/>
    <col min="19" max="19" width="6" style="11" customWidth="1"/>
    <col min="20" max="20" width="10.3828125" style="5" customWidth="1"/>
    <col min="21" max="21" width="11.61328125" style="2" customWidth="1"/>
    <col min="22" max="22" width="11.61328125" style="1" customWidth="1"/>
    <col min="23" max="23" width="10.61328125" style="1" customWidth="1"/>
    <col min="24" max="24" width="3.3828125" style="2" customWidth="1"/>
    <col min="25" max="25" width="9.15234375" style="12"/>
    <col min="26" max="26" width="11" customWidth="1"/>
    <col min="27" max="27" width="7.61328125" customWidth="1"/>
    <col min="28" max="28" width="9.23046875" customWidth="1"/>
    <col min="29" max="29" width="11.84375" customWidth="1"/>
    <col min="30" max="30" width="11.3828125" customWidth="1"/>
    <col min="31" max="31" width="101.61328125" style="2" customWidth="1"/>
    <col min="32" max="32" width="101.61328125" customWidth="1"/>
    <col min="37" max="37" width="6.84375" customWidth="1"/>
    <col min="39" max="39" width="6.84375" customWidth="1"/>
    <col min="40" max="41" width="10.3828125" style="2" customWidth="1"/>
    <col min="42" max="42" width="97.3828125" style="2" customWidth="1"/>
    <col min="46" max="46" width="11.61328125" customWidth="1"/>
    <col min="47" max="47" width="11.15234375" style="3" customWidth="1"/>
  </cols>
  <sheetData>
    <row r="1" spans="1:47" x14ac:dyDescent="0.4">
      <c r="B1" s="12" t="s">
        <v>34</v>
      </c>
      <c r="D1" t="s">
        <v>33</v>
      </c>
      <c r="G1" t="s">
        <v>40</v>
      </c>
      <c r="K1" t="s">
        <v>39</v>
      </c>
      <c r="M1" s="1"/>
      <c r="N1" s="4" t="s">
        <v>35</v>
      </c>
      <c r="O1" s="1"/>
      <c r="Q1" s="10" t="s">
        <v>43</v>
      </c>
      <c r="R1" s="10"/>
      <c r="S1" s="7"/>
      <c r="T1" s="2" t="s">
        <v>36</v>
      </c>
      <c r="U1" s="1"/>
      <c r="V1" s="1" t="s">
        <v>37</v>
      </c>
      <c r="W1" s="2"/>
      <c r="X1" s="12"/>
      <c r="Y1"/>
      <c r="Z1" t="s">
        <v>38</v>
      </c>
      <c r="AD1" s="2"/>
      <c r="AE1"/>
      <c r="AL1" s="2"/>
      <c r="AM1" s="2"/>
      <c r="AO1"/>
      <c r="AP1"/>
      <c r="AS1" s="3"/>
      <c r="AU1"/>
    </row>
    <row r="2" spans="1:47" x14ac:dyDescent="0.4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s="15" t="s">
        <v>85</v>
      </c>
      <c r="K2" t="s">
        <v>6</v>
      </c>
      <c r="L2" t="s">
        <v>29</v>
      </c>
      <c r="M2" s="1" t="s">
        <v>7</v>
      </c>
      <c r="N2" s="4" t="s">
        <v>27</v>
      </c>
      <c r="O2" s="1" t="s">
        <v>21</v>
      </c>
      <c r="P2" s="1" t="s">
        <v>30</v>
      </c>
      <c r="Q2" s="10" t="s">
        <v>44</v>
      </c>
      <c r="R2" s="10" t="s">
        <v>45</v>
      </c>
      <c r="S2" s="7" t="s">
        <v>46</v>
      </c>
      <c r="T2" s="2" t="s">
        <v>14</v>
      </c>
      <c r="U2" s="1" t="s">
        <v>25</v>
      </c>
      <c r="V2" s="1" t="s">
        <v>26</v>
      </c>
      <c r="W2" s="2" t="s">
        <v>28</v>
      </c>
      <c r="X2" t="s">
        <v>86</v>
      </c>
      <c r="Y2" t="s">
        <v>8</v>
      </c>
      <c r="Z2" t="s">
        <v>9</v>
      </c>
      <c r="AA2" t="s">
        <v>10</v>
      </c>
      <c r="AB2" t="s">
        <v>11</v>
      </c>
      <c r="AC2" s="2" t="s">
        <v>12</v>
      </c>
      <c r="AD2" s="2" t="s">
        <v>13</v>
      </c>
      <c r="AE2" t="s">
        <v>16</v>
      </c>
      <c r="AN2"/>
      <c r="AO2"/>
      <c r="AP2"/>
      <c r="AU2"/>
    </row>
    <row r="3" spans="1:47" x14ac:dyDescent="0.4">
      <c r="A3" s="22" t="s">
        <v>88</v>
      </c>
      <c r="B3" s="15" t="e">
        <f>MATCH(AwardTable[[#This Row],[lead]],Table1[Proposal_IDs],0)</f>
        <v>#N/A</v>
      </c>
      <c r="C3" s="15" t="s">
        <v>89</v>
      </c>
      <c r="D3" s="15" t="s">
        <v>90</v>
      </c>
      <c r="E3" s="15" t="s">
        <v>91</v>
      </c>
      <c r="F3" s="15" t="s">
        <v>92</v>
      </c>
      <c r="G3" s="15" t="s">
        <v>17</v>
      </c>
      <c r="H3" s="16" t="s">
        <v>94</v>
      </c>
      <c r="I3" s="16" t="s">
        <v>93</v>
      </c>
      <c r="J3" s="28" t="str">
        <f>HYPERLINK(CONCATENATE("https://www.ejacket.nsf.gov/ej/showProposal.do?Continue=Y&amp;ID=",TEXT(SUBSTITUTE(AwardTable[[#This Row],[awd_id]],CHAR(160),""),"000000")),"eJ")</f>
        <v>eJ</v>
      </c>
      <c r="K3" s="15" t="s">
        <v>95</v>
      </c>
      <c r="L3" s="15" t="s">
        <v>93</v>
      </c>
      <c r="M3" s="1">
        <v>199914</v>
      </c>
      <c r="N3" s="5">
        <v>2</v>
      </c>
      <c r="O3" s="1">
        <f>MAX(AwardTable[[#This Row],[tot_intn_awd_amt]],AwardTable[[#This Row],[totOblg_amt]])-AwardTable[[#This Row],[totCuml_xpnd_amt]]</f>
        <v>49.839999999996508</v>
      </c>
      <c r="P3" s="1">
        <f>AwardTable[[#This Row],[Balance]]/AwardTable[[#This Row],[totPIs]]</f>
        <v>24.919999999998254</v>
      </c>
      <c r="Q3" s="10">
        <f xml:space="preserve"> AwardTable[[#This Row],[totCuml_xpnd_amt]]/MAX(AwardTable[[#This Row],[tot_intn_awd_amt]],AwardTable[[#This Row],[totOblg_amt]])</f>
        <v>0.99975069279790307</v>
      </c>
      <c r="R3" s="10">
        <f>IF(ISBLANK(AwardTable[[#This Row],[last_pymt_date]]),"",(AwardTable[[#This Row],[last_pymt_date]] - AwardTable[[#This Row],[awd_eff_date]])/ (AwardTable[[#This Row],[awd_exp_date]] - AwardTable[[#This Row],[awd_eff_date]]))</f>
        <v>0.64840182648401823</v>
      </c>
      <c r="S3" s="7" t="str">
        <f>IFERROR(IF( AwardTable[[#This Row],[Time Spent]]-AwardTable[[#This Row],[$ Spent]] &gt; 0.15, "&lt;--",""),"")</f>
        <v/>
      </c>
      <c r="T3" s="17">
        <v>42978</v>
      </c>
      <c r="U3" s="1">
        <v>199914</v>
      </c>
      <c r="V3" s="1">
        <v>199864.16</v>
      </c>
      <c r="W3" s="17">
        <v>42593</v>
      </c>
      <c r="X3" s="26" t="str">
        <f>HYPERLINK(CONCATENATE("https://www.ejacket.nsf.gov/ej/showProposal.do?Continue=Y&amp;ID=",TEXT(SUBSTITUTE(AwardTable[[#This Row],[last_prop_id]],CHAR(160),""),"0000000")),"eJ")</f>
        <v>eJ</v>
      </c>
      <c r="Y3" s="15" t="s">
        <v>95</v>
      </c>
      <c r="Z3" s="15" t="s">
        <v>96</v>
      </c>
      <c r="AA3" s="15" t="s">
        <v>80</v>
      </c>
      <c r="AB3" s="15" t="s">
        <v>97</v>
      </c>
      <c r="AC3" s="17">
        <v>41869.563750000001</v>
      </c>
      <c r="AD3" s="17">
        <v>41883</v>
      </c>
      <c r="AE3" s="15" t="s">
        <v>98</v>
      </c>
      <c r="AN3"/>
      <c r="AO3"/>
      <c r="AP3"/>
      <c r="AU3"/>
    </row>
    <row r="4" spans="1:47" x14ac:dyDescent="0.4">
      <c r="AN4"/>
      <c r="AO4"/>
      <c r="AP4"/>
      <c r="AU4"/>
    </row>
    <row r="5" spans="1:47" x14ac:dyDescent="0.4">
      <c r="AN5"/>
      <c r="AO5"/>
      <c r="AP5"/>
      <c r="AU5"/>
    </row>
    <row r="6" spans="1:47" x14ac:dyDescent="0.4">
      <c r="AN6"/>
      <c r="AO6"/>
      <c r="AP6"/>
      <c r="AU6"/>
    </row>
    <row r="7" spans="1:47" x14ac:dyDescent="0.4">
      <c r="AN7"/>
      <c r="AO7"/>
      <c r="AP7"/>
      <c r="AU7"/>
    </row>
    <row r="8" spans="1:47" x14ac:dyDescent="0.4">
      <c r="AN8"/>
      <c r="AO8"/>
      <c r="AP8"/>
      <c r="AU8"/>
    </row>
    <row r="9" spans="1:47" x14ac:dyDescent="0.4">
      <c r="AN9"/>
      <c r="AO9"/>
      <c r="AP9"/>
      <c r="AU9"/>
    </row>
    <row r="10" spans="1:47" x14ac:dyDescent="0.4">
      <c r="AN10"/>
      <c r="AO10"/>
      <c r="AP10"/>
      <c r="AU10"/>
    </row>
    <row r="11" spans="1:47" x14ac:dyDescent="0.4">
      <c r="AN11"/>
      <c r="AO11"/>
      <c r="AP11"/>
      <c r="AU11"/>
    </row>
    <row r="12" spans="1:47" x14ac:dyDescent="0.4">
      <c r="AN12"/>
      <c r="AO12"/>
      <c r="AP12"/>
      <c r="AU12"/>
    </row>
    <row r="13" spans="1:47" x14ac:dyDescent="0.4">
      <c r="AN13"/>
      <c r="AO13"/>
      <c r="AP13"/>
      <c r="AU13"/>
    </row>
    <row r="14" spans="1:47" x14ac:dyDescent="0.4">
      <c r="AN14"/>
      <c r="AO14"/>
      <c r="AP14"/>
      <c r="AU14"/>
    </row>
    <row r="15" spans="1:47" x14ac:dyDescent="0.4">
      <c r="AN15"/>
      <c r="AO15"/>
      <c r="AP15"/>
      <c r="AU15"/>
    </row>
    <row r="16" spans="1:47" x14ac:dyDescent="0.4">
      <c r="AN16"/>
      <c r="AO16"/>
      <c r="AP16"/>
      <c r="AU16"/>
    </row>
    <row r="17" spans="40:47" x14ac:dyDescent="0.4">
      <c r="AN17"/>
      <c r="AO17"/>
      <c r="AP17"/>
      <c r="AU17"/>
    </row>
    <row r="18" spans="40:47" x14ac:dyDescent="0.4">
      <c r="AN18"/>
      <c r="AO18"/>
      <c r="AP18"/>
      <c r="AU18"/>
    </row>
    <row r="19" spans="40:47" x14ac:dyDescent="0.4">
      <c r="AN19"/>
      <c r="AO19"/>
      <c r="AP19"/>
      <c r="AU19"/>
    </row>
    <row r="20" spans="40:47" x14ac:dyDescent="0.4">
      <c r="AN20"/>
      <c r="AO20"/>
      <c r="AP20"/>
      <c r="AU20"/>
    </row>
    <row r="21" spans="40:47" x14ac:dyDescent="0.4">
      <c r="AN21"/>
      <c r="AO21"/>
      <c r="AP21"/>
      <c r="AU21"/>
    </row>
    <row r="22" spans="40:47" x14ac:dyDescent="0.4">
      <c r="AN22"/>
      <c r="AO22"/>
      <c r="AP22"/>
      <c r="AU22"/>
    </row>
    <row r="23" spans="40:47" x14ac:dyDescent="0.4">
      <c r="AN23"/>
      <c r="AO23"/>
      <c r="AP23"/>
      <c r="AU23"/>
    </row>
    <row r="24" spans="40:47" x14ac:dyDescent="0.4">
      <c r="AN24"/>
      <c r="AO24"/>
      <c r="AP24"/>
      <c r="AU24"/>
    </row>
    <row r="25" spans="40:47" x14ac:dyDescent="0.4">
      <c r="AN25"/>
      <c r="AO25"/>
      <c r="AP25"/>
      <c r="AU25"/>
    </row>
    <row r="26" spans="40:47" x14ac:dyDescent="0.4">
      <c r="AN26"/>
      <c r="AO26"/>
      <c r="AP26"/>
      <c r="AU26"/>
    </row>
    <row r="27" spans="40:47" x14ac:dyDescent="0.4">
      <c r="AN27"/>
      <c r="AO27"/>
      <c r="AP27"/>
      <c r="AU27"/>
    </row>
    <row r="28" spans="40:47" x14ac:dyDescent="0.4">
      <c r="AN28"/>
      <c r="AO28"/>
      <c r="AP28"/>
      <c r="AU28"/>
    </row>
    <row r="29" spans="40:47" x14ac:dyDescent="0.4">
      <c r="AN29"/>
      <c r="AO29"/>
      <c r="AP29"/>
      <c r="AU29"/>
    </row>
    <row r="30" spans="40:47" x14ac:dyDescent="0.4">
      <c r="AN30"/>
      <c r="AO30"/>
      <c r="AP30"/>
      <c r="AU30"/>
    </row>
    <row r="31" spans="40:47" x14ac:dyDescent="0.4">
      <c r="AN31"/>
      <c r="AO31"/>
      <c r="AP31"/>
      <c r="AU31"/>
    </row>
    <row r="32" spans="40:47" x14ac:dyDescent="0.4">
      <c r="AN32"/>
      <c r="AO32"/>
      <c r="AP32"/>
      <c r="AU32"/>
    </row>
    <row r="33" spans="39:47" x14ac:dyDescent="0.4">
      <c r="AN33"/>
      <c r="AO33"/>
      <c r="AP33"/>
      <c r="AU33"/>
    </row>
    <row r="34" spans="39:47" x14ac:dyDescent="0.4">
      <c r="AN34"/>
      <c r="AO34"/>
      <c r="AP34"/>
      <c r="AU34"/>
    </row>
    <row r="35" spans="39:47" x14ac:dyDescent="0.4">
      <c r="AN35"/>
      <c r="AO35"/>
      <c r="AP35"/>
      <c r="AU35"/>
    </row>
    <row r="36" spans="39:47" x14ac:dyDescent="0.4">
      <c r="AN36"/>
      <c r="AO36"/>
      <c r="AP36"/>
      <c r="AU36"/>
    </row>
    <row r="37" spans="39:47" x14ac:dyDescent="0.4">
      <c r="AM37" s="2"/>
      <c r="AP37"/>
      <c r="AT37" s="3"/>
      <c r="AU37"/>
    </row>
    <row r="38" spans="39:47" x14ac:dyDescent="0.4">
      <c r="AM38" s="2"/>
      <c r="AP38"/>
      <c r="AT38" s="3"/>
      <c r="AU38"/>
    </row>
    <row r="39" spans="39:47" x14ac:dyDescent="0.4">
      <c r="AM39" s="2"/>
      <c r="AP39"/>
      <c r="AT39" s="3"/>
      <c r="AU39"/>
    </row>
    <row r="40" spans="39:47" x14ac:dyDescent="0.4">
      <c r="AM40" s="2"/>
      <c r="AP40"/>
      <c r="AT40" s="3"/>
      <c r="AU40"/>
    </row>
    <row r="41" spans="39:47" x14ac:dyDescent="0.4">
      <c r="AM41" s="2"/>
      <c r="AP41"/>
      <c r="AT41" s="3"/>
      <c r="AU41"/>
    </row>
    <row r="42" spans="39:47" x14ac:dyDescent="0.4">
      <c r="AM42" s="2"/>
      <c r="AP42"/>
      <c r="AT42" s="3"/>
      <c r="AU42"/>
    </row>
    <row r="43" spans="39:47" x14ac:dyDescent="0.4">
      <c r="AM43" s="2"/>
      <c r="AP43"/>
      <c r="AT43" s="3"/>
      <c r="AU43"/>
    </row>
    <row r="44" spans="39:47" x14ac:dyDescent="0.4">
      <c r="AM44" s="2"/>
      <c r="AP44"/>
      <c r="AT44" s="3"/>
      <c r="AU44"/>
    </row>
    <row r="45" spans="39:47" x14ac:dyDescent="0.4">
      <c r="AM45" s="2"/>
      <c r="AP45"/>
      <c r="AT45" s="3"/>
      <c r="AU45"/>
    </row>
    <row r="46" spans="39:47" x14ac:dyDescent="0.4">
      <c r="AM46" s="2"/>
      <c r="AP46"/>
      <c r="AT46" s="3"/>
      <c r="AU46"/>
    </row>
    <row r="47" spans="39:47" x14ac:dyDescent="0.4">
      <c r="AM47" s="2"/>
      <c r="AP47"/>
      <c r="AT47" s="3"/>
      <c r="AU47"/>
    </row>
    <row r="48" spans="39:47" x14ac:dyDescent="0.4">
      <c r="AM48" s="2"/>
      <c r="AP48"/>
      <c r="AT48" s="3"/>
      <c r="AU48"/>
    </row>
    <row r="49" spans="39:47" x14ac:dyDescent="0.4">
      <c r="AM49" s="2"/>
      <c r="AP49"/>
      <c r="AT49" s="3"/>
      <c r="AU49"/>
    </row>
    <row r="50" spans="39:47" x14ac:dyDescent="0.4">
      <c r="AM50" s="2"/>
      <c r="AP50"/>
      <c r="AT50" s="3"/>
      <c r="AU50"/>
    </row>
    <row r="51" spans="39:47" x14ac:dyDescent="0.4">
      <c r="AM51" s="2"/>
      <c r="AP51"/>
      <c r="AT51" s="3"/>
      <c r="AU51"/>
    </row>
    <row r="52" spans="39:47" x14ac:dyDescent="0.4">
      <c r="AM52" s="2"/>
      <c r="AP52"/>
      <c r="AT52" s="3"/>
      <c r="AU52"/>
    </row>
    <row r="53" spans="39:47" x14ac:dyDescent="0.4">
      <c r="AM53" s="2"/>
      <c r="AP53"/>
      <c r="AT53" s="3"/>
      <c r="AU53"/>
    </row>
    <row r="54" spans="39:47" x14ac:dyDescent="0.4">
      <c r="AM54" s="2"/>
      <c r="AP54"/>
      <c r="AT54" s="3"/>
      <c r="AU54"/>
    </row>
    <row r="55" spans="39:47" x14ac:dyDescent="0.4">
      <c r="AM55" s="2"/>
      <c r="AP55"/>
      <c r="AT55" s="3"/>
      <c r="AU55"/>
    </row>
    <row r="56" spans="39:47" x14ac:dyDescent="0.4">
      <c r="AM56" s="2"/>
      <c r="AP56"/>
      <c r="AT56" s="3"/>
      <c r="AU56"/>
    </row>
    <row r="57" spans="39:47" x14ac:dyDescent="0.4">
      <c r="AM57" s="2"/>
      <c r="AP57"/>
      <c r="AT57" s="3"/>
      <c r="AU57"/>
    </row>
    <row r="58" spans="39:47" x14ac:dyDescent="0.4">
      <c r="AM58" s="2"/>
      <c r="AP58"/>
      <c r="AT58" s="3"/>
      <c r="AU58"/>
    </row>
    <row r="59" spans="39:47" x14ac:dyDescent="0.4">
      <c r="AM59" s="2"/>
      <c r="AP59"/>
      <c r="AT59" s="3"/>
      <c r="AU59"/>
    </row>
    <row r="60" spans="39:47" x14ac:dyDescent="0.4">
      <c r="AM60" s="2"/>
      <c r="AP60"/>
      <c r="AT60" s="3"/>
      <c r="AU60"/>
    </row>
    <row r="61" spans="39:47" x14ac:dyDescent="0.4">
      <c r="AM61" s="2"/>
      <c r="AP61"/>
      <c r="AT61" s="3"/>
      <c r="AU61"/>
    </row>
    <row r="62" spans="39:47" x14ac:dyDescent="0.4">
      <c r="AM62" s="2"/>
      <c r="AP62"/>
      <c r="AT62" s="3"/>
      <c r="AU62"/>
    </row>
    <row r="63" spans="39:47" x14ac:dyDescent="0.4">
      <c r="AM63" s="2"/>
      <c r="AP63"/>
      <c r="AT63" s="3"/>
      <c r="AU63"/>
    </row>
    <row r="64" spans="39:47" x14ac:dyDescent="0.4">
      <c r="AM64" s="2"/>
      <c r="AP64"/>
      <c r="AT64" s="3"/>
      <c r="AU64"/>
    </row>
    <row r="65" spans="39:47" x14ac:dyDescent="0.4">
      <c r="AM65" s="2"/>
      <c r="AP65"/>
      <c r="AT65" s="3"/>
      <c r="AU65"/>
    </row>
    <row r="66" spans="39:47" x14ac:dyDescent="0.4">
      <c r="AM66" s="2"/>
      <c r="AP66"/>
      <c r="AT66" s="3"/>
      <c r="AU66"/>
    </row>
    <row r="67" spans="39:47" x14ac:dyDescent="0.4">
      <c r="AM67" s="2"/>
      <c r="AP67"/>
      <c r="AT67" s="3"/>
      <c r="AU67"/>
    </row>
    <row r="68" spans="39:47" x14ac:dyDescent="0.4">
      <c r="AM68" s="2"/>
      <c r="AP68"/>
      <c r="AT68" s="3"/>
      <c r="AU68"/>
    </row>
    <row r="69" spans="39:47" x14ac:dyDescent="0.4">
      <c r="AM69" s="2"/>
      <c r="AP69"/>
      <c r="AT69" s="3"/>
      <c r="AU69"/>
    </row>
    <row r="70" spans="39:47" x14ac:dyDescent="0.4">
      <c r="AM70" s="2"/>
      <c r="AP70"/>
      <c r="AT70" s="3"/>
      <c r="AU70"/>
    </row>
    <row r="71" spans="39:47" x14ac:dyDescent="0.4">
      <c r="AM71" s="2"/>
      <c r="AP71"/>
      <c r="AT71" s="3"/>
      <c r="AU71"/>
    </row>
    <row r="72" spans="39:47" x14ac:dyDescent="0.4">
      <c r="AM72" s="2"/>
      <c r="AP72"/>
      <c r="AT72" s="3"/>
      <c r="AU72"/>
    </row>
    <row r="73" spans="39:47" x14ac:dyDescent="0.4">
      <c r="AM73" s="2"/>
      <c r="AP73"/>
      <c r="AT73" s="3"/>
      <c r="AU73"/>
    </row>
    <row r="74" spans="39:47" x14ac:dyDescent="0.4">
      <c r="AM74" s="2"/>
      <c r="AP74"/>
      <c r="AT74" s="3"/>
      <c r="AU74"/>
    </row>
    <row r="75" spans="39:47" x14ac:dyDescent="0.4">
      <c r="AM75" s="2"/>
      <c r="AP75"/>
      <c r="AT75" s="3"/>
      <c r="AU75"/>
    </row>
    <row r="76" spans="39:47" x14ac:dyDescent="0.4">
      <c r="AM76" s="2"/>
      <c r="AP76"/>
      <c r="AT76" s="3"/>
      <c r="AU76"/>
    </row>
    <row r="77" spans="39:47" x14ac:dyDescent="0.4">
      <c r="AM77" s="2"/>
      <c r="AP77"/>
      <c r="AT77" s="3"/>
      <c r="AU77"/>
    </row>
    <row r="78" spans="39:47" x14ac:dyDescent="0.4">
      <c r="AM78" s="2"/>
      <c r="AP78"/>
      <c r="AT78" s="3"/>
      <c r="AU78"/>
    </row>
    <row r="79" spans="39:47" x14ac:dyDescent="0.4">
      <c r="AM79" s="2"/>
      <c r="AP79"/>
      <c r="AT79" s="3"/>
      <c r="AU79"/>
    </row>
    <row r="80" spans="39:47" x14ac:dyDescent="0.4">
      <c r="AM80" s="2"/>
      <c r="AP80"/>
      <c r="AT80" s="3"/>
      <c r="AU80"/>
    </row>
    <row r="81" spans="39:47" x14ac:dyDescent="0.4">
      <c r="AM81" s="2"/>
      <c r="AP81"/>
      <c r="AT81" s="3"/>
      <c r="AU81"/>
    </row>
    <row r="82" spans="39:47" x14ac:dyDescent="0.4">
      <c r="AM82" s="2"/>
      <c r="AP82"/>
      <c r="AT82" s="3"/>
      <c r="AU82"/>
    </row>
    <row r="83" spans="39:47" x14ac:dyDescent="0.4">
      <c r="AM83" s="2"/>
      <c r="AP83"/>
      <c r="AT83" s="3"/>
      <c r="AU83"/>
    </row>
    <row r="84" spans="39:47" x14ac:dyDescent="0.4">
      <c r="AM84" s="2"/>
      <c r="AP84"/>
      <c r="AT84" s="3"/>
      <c r="AU84"/>
    </row>
    <row r="85" spans="39:47" x14ac:dyDescent="0.4">
      <c r="AM85" s="2"/>
      <c r="AP85"/>
      <c r="AT85" s="3"/>
      <c r="AU85"/>
    </row>
    <row r="86" spans="39:47" x14ac:dyDescent="0.4">
      <c r="AM86" s="2"/>
      <c r="AP86"/>
      <c r="AT86" s="3"/>
      <c r="AU86"/>
    </row>
    <row r="87" spans="39:47" x14ac:dyDescent="0.4">
      <c r="AM87" s="2"/>
      <c r="AP87"/>
      <c r="AT87" s="3"/>
      <c r="AU87"/>
    </row>
    <row r="88" spans="39:47" x14ac:dyDescent="0.4">
      <c r="AM88" s="2"/>
      <c r="AP88"/>
      <c r="AT88" s="3"/>
      <c r="AU88"/>
    </row>
    <row r="89" spans="39:47" x14ac:dyDescent="0.4">
      <c r="AM89" s="2"/>
      <c r="AP89"/>
      <c r="AT89" s="3"/>
      <c r="AU89"/>
    </row>
    <row r="90" spans="39:47" x14ac:dyDescent="0.4">
      <c r="AM90" s="2"/>
      <c r="AP90"/>
      <c r="AT90" s="3"/>
      <c r="AU90"/>
    </row>
    <row r="91" spans="39:47" x14ac:dyDescent="0.4">
      <c r="AM91" s="2"/>
      <c r="AP91"/>
      <c r="AT91" s="3"/>
      <c r="AU91"/>
    </row>
    <row r="92" spans="39:47" x14ac:dyDescent="0.4">
      <c r="AM92" s="2"/>
      <c r="AP92"/>
      <c r="AT92" s="3"/>
      <c r="AU92"/>
    </row>
    <row r="93" spans="39:47" x14ac:dyDescent="0.4">
      <c r="AM93" s="2"/>
      <c r="AP93"/>
      <c r="AT93" s="3"/>
      <c r="AU93"/>
    </row>
    <row r="94" spans="39:47" x14ac:dyDescent="0.4">
      <c r="AM94" s="2"/>
      <c r="AP94"/>
      <c r="AT94" s="3"/>
      <c r="AU94"/>
    </row>
    <row r="95" spans="39:47" x14ac:dyDescent="0.4">
      <c r="AM95" s="2"/>
      <c r="AP95"/>
      <c r="AT95" s="3"/>
      <c r="AU95"/>
    </row>
    <row r="96" spans="39:47" x14ac:dyDescent="0.4">
      <c r="AM96" s="2"/>
      <c r="AP96"/>
      <c r="AT96" s="3"/>
      <c r="AU96"/>
    </row>
    <row r="97" spans="39:47" x14ac:dyDescent="0.4">
      <c r="AM97" s="2"/>
      <c r="AP97"/>
      <c r="AT97" s="3"/>
      <c r="AU97"/>
    </row>
    <row r="98" spans="39:47" x14ac:dyDescent="0.4">
      <c r="AM98" s="2"/>
      <c r="AP98"/>
      <c r="AT98" s="3"/>
      <c r="AU98"/>
    </row>
    <row r="99" spans="39:47" x14ac:dyDescent="0.4">
      <c r="AM99" s="2"/>
      <c r="AP99"/>
      <c r="AT99" s="3"/>
      <c r="AU99"/>
    </row>
    <row r="100" spans="39:47" x14ac:dyDescent="0.4">
      <c r="AM100" s="2"/>
      <c r="AP100"/>
      <c r="AT100" s="3"/>
      <c r="AU100"/>
    </row>
    <row r="101" spans="39:47" x14ac:dyDescent="0.4">
      <c r="AM101" s="2"/>
      <c r="AP101"/>
      <c r="AT101" s="3"/>
      <c r="AU101"/>
    </row>
    <row r="102" spans="39:47" x14ac:dyDescent="0.4">
      <c r="AM102" s="2"/>
      <c r="AP102"/>
      <c r="AT102" s="3"/>
      <c r="AU102"/>
    </row>
    <row r="103" spans="39:47" x14ac:dyDescent="0.4">
      <c r="AM103" s="2"/>
      <c r="AP103"/>
      <c r="AT103" s="3"/>
      <c r="AU103"/>
    </row>
    <row r="104" spans="39:47" x14ac:dyDescent="0.4">
      <c r="AM104" s="2"/>
      <c r="AP104"/>
      <c r="AT104" s="3"/>
      <c r="AU104"/>
    </row>
    <row r="105" spans="39:47" x14ac:dyDescent="0.4">
      <c r="AM105" s="2"/>
      <c r="AP105"/>
      <c r="AT105" s="3"/>
      <c r="AU105"/>
    </row>
    <row r="106" spans="39:47" x14ac:dyDescent="0.4">
      <c r="AM106" s="2"/>
      <c r="AP106"/>
      <c r="AT106" s="3"/>
      <c r="AU106"/>
    </row>
    <row r="107" spans="39:47" x14ac:dyDescent="0.4">
      <c r="AM107" s="2"/>
      <c r="AP107"/>
      <c r="AT107" s="3"/>
      <c r="AU107"/>
    </row>
    <row r="108" spans="39:47" x14ac:dyDescent="0.4">
      <c r="AM108" s="2"/>
      <c r="AP108"/>
      <c r="AT108" s="3"/>
      <c r="AU108"/>
    </row>
    <row r="109" spans="39:47" x14ac:dyDescent="0.4">
      <c r="AM109" s="2"/>
      <c r="AP109"/>
      <c r="AT109" s="3"/>
      <c r="AU109"/>
    </row>
    <row r="110" spans="39:47" x14ac:dyDescent="0.4">
      <c r="AM110" s="2"/>
      <c r="AP110"/>
      <c r="AT110" s="3"/>
      <c r="AU110"/>
    </row>
    <row r="111" spans="39:47" x14ac:dyDescent="0.4">
      <c r="AM111" s="2"/>
      <c r="AP111"/>
      <c r="AT111" s="3"/>
      <c r="AU111"/>
    </row>
    <row r="112" spans="39:47" x14ac:dyDescent="0.4">
      <c r="AM112" s="2"/>
      <c r="AP112"/>
      <c r="AT112" s="3"/>
      <c r="AU112"/>
    </row>
    <row r="113" spans="39:47" x14ac:dyDescent="0.4">
      <c r="AM113" s="2"/>
      <c r="AP113"/>
      <c r="AT113" s="3"/>
      <c r="AU113"/>
    </row>
    <row r="114" spans="39:47" x14ac:dyDescent="0.4">
      <c r="AM114" s="2"/>
      <c r="AP114"/>
      <c r="AT114" s="3"/>
      <c r="AU114"/>
    </row>
    <row r="115" spans="39:47" x14ac:dyDescent="0.4">
      <c r="AM115" s="2"/>
      <c r="AP115"/>
      <c r="AT115" s="3"/>
      <c r="AU115"/>
    </row>
    <row r="116" spans="39:47" x14ac:dyDescent="0.4">
      <c r="AM116" s="2"/>
      <c r="AP116"/>
      <c r="AT116" s="3"/>
      <c r="AU116"/>
    </row>
    <row r="117" spans="39:47" x14ac:dyDescent="0.4">
      <c r="AM117" s="2"/>
      <c r="AP117"/>
      <c r="AT117" s="3"/>
      <c r="AU117"/>
    </row>
    <row r="118" spans="39:47" x14ac:dyDescent="0.4">
      <c r="AM118" s="2"/>
      <c r="AP118"/>
      <c r="AT118" s="3"/>
      <c r="AU118"/>
    </row>
    <row r="119" spans="39:47" x14ac:dyDescent="0.4">
      <c r="AM119" s="2"/>
      <c r="AP119"/>
      <c r="AT119" s="3"/>
      <c r="AU119"/>
    </row>
    <row r="120" spans="39:47" x14ac:dyDescent="0.4">
      <c r="AM120" s="2"/>
      <c r="AP120"/>
      <c r="AT120" s="3"/>
      <c r="AU120"/>
    </row>
    <row r="121" spans="39:47" x14ac:dyDescent="0.4">
      <c r="AM121" s="2"/>
      <c r="AP121"/>
      <c r="AT121" s="3"/>
      <c r="AU121"/>
    </row>
    <row r="122" spans="39:47" x14ac:dyDescent="0.4">
      <c r="AM122" s="2"/>
      <c r="AP122"/>
      <c r="AT122" s="3"/>
      <c r="AU122"/>
    </row>
    <row r="123" spans="39:47" x14ac:dyDescent="0.4">
      <c r="AM123" s="2"/>
      <c r="AP123"/>
      <c r="AT123" s="3"/>
      <c r="AU123"/>
    </row>
    <row r="124" spans="39:47" x14ac:dyDescent="0.4">
      <c r="AM124" s="2"/>
      <c r="AP124"/>
      <c r="AT124" s="3"/>
      <c r="AU124"/>
    </row>
    <row r="125" spans="39:47" x14ac:dyDescent="0.4">
      <c r="AM125" s="2"/>
      <c r="AP125"/>
      <c r="AT125" s="3"/>
      <c r="AU125"/>
    </row>
    <row r="126" spans="39:47" x14ac:dyDescent="0.4">
      <c r="AM126" s="2"/>
      <c r="AP126"/>
      <c r="AT126" s="3"/>
      <c r="AU126"/>
    </row>
    <row r="127" spans="39:47" x14ac:dyDescent="0.4">
      <c r="AM127" s="2"/>
      <c r="AP127"/>
      <c r="AT127" s="3"/>
      <c r="AU127"/>
    </row>
    <row r="128" spans="39:47" x14ac:dyDescent="0.4">
      <c r="AM128" s="2"/>
      <c r="AP128"/>
      <c r="AT128" s="3"/>
      <c r="AU12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R128"/>
  <sheetViews>
    <sheetView workbookViewId="0">
      <selection activeCell="E3" sqref="E3"/>
    </sheetView>
  </sheetViews>
  <sheetFormatPr defaultRowHeight="14.6" x14ac:dyDescent="0.4"/>
  <cols>
    <col min="2" max="2" width="5.3828125" style="12" customWidth="1"/>
    <col min="3" max="3" width="10.15234375" customWidth="1"/>
    <col min="4" max="4" width="11" customWidth="1"/>
    <col min="5" max="5" width="9.84375" customWidth="1"/>
    <col min="6" max="6" width="22.61328125" customWidth="1"/>
    <col min="7" max="7" width="3.15234375" customWidth="1"/>
    <col min="8" max="8" width="10.15234375" customWidth="1"/>
    <col min="9" max="9" width="18.84375" customWidth="1"/>
    <col min="10" max="10" width="9.765625" customWidth="1"/>
    <col min="11" max="11" width="6.765625" customWidth="1"/>
    <col min="12" max="12" width="13.84375" style="1" customWidth="1"/>
    <col min="13" max="13" width="3.765625" style="1" customWidth="1"/>
    <col min="14" max="14" width="10" style="4" customWidth="1"/>
    <col min="15" max="15" width="31" style="1" customWidth="1"/>
    <col min="16" max="16" width="12.84375" style="1" customWidth="1"/>
    <col min="17" max="17" width="2.3828125" style="11" customWidth="1"/>
    <col min="18" max="18" width="4.3828125" style="11" customWidth="1"/>
    <col min="19" max="19" width="3.3828125" customWidth="1"/>
    <col min="20" max="20" width="12" style="14" customWidth="1"/>
    <col min="21" max="21" width="5.765625" customWidth="1"/>
    <col min="22" max="22" width="10.84375" style="14" customWidth="1"/>
    <col min="23" max="24" width="4.765625" style="11" customWidth="1"/>
    <col min="25" max="25" width="9.23046875" style="11" customWidth="1"/>
    <col min="26" max="29" width="9.765625" style="3" customWidth="1"/>
    <col min="30" max="30" width="4" customWidth="1"/>
    <col min="31" max="31" width="6" style="3" customWidth="1"/>
    <col min="32" max="32" width="92.23046875" customWidth="1"/>
    <col min="35" max="35" width="6.61328125" customWidth="1"/>
    <col min="36" max="38" width="74.84375" style="11" customWidth="1"/>
    <col min="39" max="43" width="6.61328125" style="11" customWidth="1"/>
    <col min="44" max="44" width="6" style="5" customWidth="1"/>
    <col min="45" max="45" width="10.3828125" style="2" customWidth="1"/>
    <col min="46" max="47" width="11.61328125" style="1" customWidth="1"/>
    <col min="48" max="48" width="10.61328125" style="2" customWidth="1"/>
    <col min="50" max="50" width="11" customWidth="1"/>
    <col min="51" max="51" width="7.61328125" customWidth="1"/>
    <col min="52" max="52" width="9.23046875" customWidth="1"/>
    <col min="53" max="53" width="11.84375" customWidth="1"/>
    <col min="54" max="54" width="11.3828125" style="2" customWidth="1"/>
    <col min="55" max="55" width="101.61328125" customWidth="1"/>
    <col min="60" max="60" width="6.84375" customWidth="1"/>
    <col min="62" max="62" width="6.84375" customWidth="1"/>
    <col min="63" max="64" width="10.3828125" style="2" customWidth="1"/>
    <col min="65" max="65" width="97.3828125" style="2" customWidth="1"/>
    <col min="69" max="69" width="11.61328125" customWidth="1"/>
    <col min="70" max="70" width="11.15234375" style="3" customWidth="1"/>
  </cols>
  <sheetData>
    <row r="1" spans="1:70" x14ac:dyDescent="0.4">
      <c r="B1" s="12" t="s">
        <v>34</v>
      </c>
      <c r="D1" t="s">
        <v>33</v>
      </c>
      <c r="G1" t="s">
        <v>69</v>
      </c>
      <c r="N1" s="4" t="s">
        <v>70</v>
      </c>
      <c r="P1" s="1" t="s">
        <v>68</v>
      </c>
      <c r="Q1" s="10"/>
      <c r="R1" s="10"/>
      <c r="S1" s="10"/>
      <c r="T1" s="14" t="s">
        <v>71</v>
      </c>
      <c r="U1" s="10"/>
      <c r="W1" s="10"/>
      <c r="X1" s="10"/>
      <c r="Y1" s="10"/>
      <c r="Z1" s="13"/>
      <c r="AA1" s="13"/>
      <c r="AB1" s="13"/>
      <c r="AC1" s="13"/>
      <c r="AD1" s="13"/>
      <c r="AE1" s="10"/>
      <c r="AF1" s="10"/>
      <c r="AG1" s="10"/>
      <c r="AH1" s="10"/>
      <c r="AI1" s="10"/>
      <c r="AJ1" s="10"/>
      <c r="AK1" s="10"/>
      <c r="AL1" s="7"/>
      <c r="AM1" s="2" t="s">
        <v>36</v>
      </c>
      <c r="AN1" s="1"/>
      <c r="AO1" s="1" t="s">
        <v>37</v>
      </c>
      <c r="AP1" s="2"/>
      <c r="AQ1"/>
      <c r="AR1" t="s">
        <v>38</v>
      </c>
      <c r="AS1"/>
      <c r="AT1"/>
      <c r="AU1"/>
      <c r="BB1"/>
      <c r="BD1" s="2"/>
      <c r="BE1" s="2"/>
      <c r="BF1" s="2"/>
      <c r="BK1" s="3"/>
      <c r="BL1"/>
      <c r="BM1"/>
      <c r="BR1"/>
    </row>
    <row r="2" spans="1:70" x14ac:dyDescent="0.4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t="s">
        <v>9</v>
      </c>
      <c r="K2" t="s">
        <v>10</v>
      </c>
      <c r="L2" t="s">
        <v>11</v>
      </c>
      <c r="M2" t="s">
        <v>77</v>
      </c>
      <c r="N2" t="s">
        <v>49</v>
      </c>
      <c r="O2" t="s">
        <v>50</v>
      </c>
      <c r="P2" t="s">
        <v>51</v>
      </c>
      <c r="Q2" t="s">
        <v>52</v>
      </c>
      <c r="R2" t="s">
        <v>53</v>
      </c>
      <c r="S2" t="s">
        <v>66</v>
      </c>
      <c r="T2" s="14" t="s">
        <v>65</v>
      </c>
      <c r="U2" t="s">
        <v>72</v>
      </c>
      <c r="V2" s="14" t="s">
        <v>73</v>
      </c>
      <c r="W2" t="s">
        <v>54</v>
      </c>
      <c r="X2" t="s">
        <v>55</v>
      </c>
      <c r="Y2" s="2" t="s">
        <v>60</v>
      </c>
      <c r="Z2" s="2" t="s">
        <v>58</v>
      </c>
      <c r="AA2" s="2" t="s">
        <v>56</v>
      </c>
      <c r="AB2" s="2" t="s">
        <v>57</v>
      </c>
      <c r="AC2" s="2" t="s">
        <v>59</v>
      </c>
      <c r="AD2" t="s">
        <v>61</v>
      </c>
      <c r="AE2" t="s">
        <v>62</v>
      </c>
      <c r="AF2" t="s">
        <v>63</v>
      </c>
      <c r="AJ2"/>
      <c r="AK2"/>
      <c r="AL2"/>
      <c r="AM2"/>
      <c r="AN2"/>
      <c r="AO2"/>
      <c r="AP2"/>
      <c r="AQ2"/>
      <c r="AR2"/>
      <c r="AS2"/>
      <c r="AT2"/>
      <c r="AU2"/>
      <c r="AV2"/>
      <c r="BB2"/>
      <c r="BK2"/>
      <c r="BL2"/>
      <c r="BM2"/>
      <c r="BR2"/>
    </row>
    <row r="3" spans="1:70" x14ac:dyDescent="0.4">
      <c r="A3" s="22"/>
      <c r="B3" s="15"/>
      <c r="C3" s="15"/>
      <c r="D3" s="15"/>
      <c r="E3" s="15"/>
      <c r="F3" s="15"/>
      <c r="G3" s="15"/>
      <c r="H3" s="16"/>
      <c r="I3" s="16"/>
      <c r="J3" s="15"/>
      <c r="K3" s="15"/>
      <c r="L3" s="15"/>
      <c r="M3" s="26"/>
      <c r="N3" s="15"/>
      <c r="O3" s="15"/>
      <c r="P3" s="15"/>
      <c r="Q3" s="15"/>
      <c r="R3" s="15"/>
      <c r="S3" s="15"/>
      <c r="T3" s="24"/>
      <c r="U3" s="15"/>
      <c r="V3" s="24"/>
      <c r="W3" s="15"/>
      <c r="X3" s="15"/>
      <c r="Y3" s="17"/>
      <c r="Z3" s="17"/>
      <c r="AA3" s="17"/>
      <c r="AB3" s="17"/>
      <c r="AC3" s="17"/>
      <c r="AD3" s="15"/>
      <c r="AE3" s="15"/>
      <c r="AF3" s="15"/>
      <c r="AJ3"/>
      <c r="AK3"/>
      <c r="AL3"/>
      <c r="AM3"/>
      <c r="AN3"/>
      <c r="AO3"/>
      <c r="AP3"/>
      <c r="AQ3"/>
      <c r="AR3"/>
      <c r="AS3"/>
      <c r="AT3"/>
      <c r="AU3"/>
      <c r="AV3"/>
      <c r="BB3"/>
      <c r="BK3"/>
      <c r="BL3"/>
      <c r="BM3"/>
      <c r="BR3"/>
    </row>
    <row r="4" spans="1:70" x14ac:dyDescent="0.4">
      <c r="AJ4"/>
      <c r="AK4"/>
      <c r="AL4"/>
      <c r="AM4"/>
      <c r="AN4"/>
      <c r="AO4"/>
      <c r="AP4"/>
      <c r="AQ4"/>
      <c r="AR4"/>
      <c r="AS4"/>
      <c r="AT4"/>
      <c r="AU4"/>
      <c r="AV4"/>
      <c r="BB4"/>
      <c r="BK4"/>
      <c r="BL4"/>
      <c r="BM4"/>
      <c r="BR4"/>
    </row>
    <row r="5" spans="1:70" x14ac:dyDescent="0.4">
      <c r="AJ5"/>
      <c r="AK5"/>
      <c r="AL5"/>
      <c r="AM5"/>
      <c r="AN5"/>
      <c r="AO5"/>
      <c r="AP5"/>
      <c r="AQ5"/>
      <c r="AR5"/>
      <c r="AS5"/>
      <c r="AT5"/>
      <c r="AU5"/>
      <c r="AV5"/>
      <c r="BB5"/>
      <c r="BK5"/>
      <c r="BL5"/>
      <c r="BM5"/>
      <c r="BR5"/>
    </row>
    <row r="6" spans="1:70" x14ac:dyDescent="0.4">
      <c r="AJ6"/>
      <c r="AK6"/>
      <c r="AL6"/>
      <c r="AM6"/>
      <c r="AN6"/>
      <c r="AO6"/>
      <c r="AP6"/>
      <c r="AQ6"/>
      <c r="AR6"/>
      <c r="AS6"/>
      <c r="AT6"/>
      <c r="AU6"/>
      <c r="AV6"/>
      <c r="BB6"/>
      <c r="BK6"/>
      <c r="BL6"/>
      <c r="BM6"/>
      <c r="BR6"/>
    </row>
    <row r="7" spans="1:70" x14ac:dyDescent="0.4">
      <c r="AJ7"/>
      <c r="AK7"/>
      <c r="AL7"/>
      <c r="AM7"/>
      <c r="AN7"/>
      <c r="AO7"/>
      <c r="AP7"/>
      <c r="AQ7"/>
      <c r="AR7"/>
      <c r="AS7"/>
      <c r="AT7"/>
      <c r="AU7"/>
      <c r="AV7"/>
      <c r="BB7"/>
      <c r="BK7"/>
      <c r="BL7"/>
      <c r="BM7"/>
      <c r="BR7"/>
    </row>
    <row r="8" spans="1:70" x14ac:dyDescent="0.4">
      <c r="AJ8"/>
      <c r="AK8"/>
      <c r="AL8"/>
      <c r="AM8"/>
      <c r="AN8"/>
      <c r="AO8"/>
      <c r="AP8"/>
      <c r="AQ8"/>
      <c r="AR8"/>
      <c r="AS8"/>
      <c r="AT8"/>
      <c r="AU8"/>
      <c r="AV8"/>
      <c r="BB8"/>
      <c r="BK8"/>
      <c r="BL8"/>
      <c r="BM8"/>
      <c r="BR8"/>
    </row>
    <row r="9" spans="1:70" x14ac:dyDescent="0.4">
      <c r="AJ9"/>
      <c r="AK9"/>
      <c r="AL9"/>
      <c r="AM9"/>
      <c r="AN9"/>
      <c r="AO9"/>
      <c r="AP9"/>
      <c r="AQ9"/>
      <c r="AR9"/>
      <c r="AS9"/>
      <c r="AT9"/>
      <c r="AU9"/>
      <c r="AV9"/>
      <c r="BB9"/>
      <c r="BK9"/>
      <c r="BL9"/>
      <c r="BM9"/>
      <c r="BR9"/>
    </row>
    <row r="10" spans="1:70" x14ac:dyDescent="0.4">
      <c r="AJ10"/>
      <c r="AK10"/>
      <c r="AL10"/>
      <c r="AM10"/>
      <c r="AN10"/>
      <c r="AO10"/>
      <c r="AP10"/>
      <c r="AQ10"/>
      <c r="AR10"/>
      <c r="AS10"/>
      <c r="AT10"/>
      <c r="AU10"/>
      <c r="AV10"/>
      <c r="BB10"/>
      <c r="BK10"/>
      <c r="BL10"/>
      <c r="BM10"/>
      <c r="BR10"/>
    </row>
    <row r="11" spans="1:70" x14ac:dyDescent="0.4">
      <c r="AJ11"/>
      <c r="AK11"/>
      <c r="AL11"/>
      <c r="AM11"/>
      <c r="AN11"/>
      <c r="AO11"/>
      <c r="AP11"/>
      <c r="AQ11"/>
      <c r="AR11"/>
      <c r="AS11"/>
      <c r="AT11"/>
      <c r="AU11"/>
      <c r="AV11"/>
      <c r="BB11"/>
      <c r="BK11"/>
      <c r="BL11"/>
      <c r="BM11"/>
      <c r="BR11"/>
    </row>
    <row r="12" spans="1:70" x14ac:dyDescent="0.4">
      <c r="AJ12"/>
      <c r="AK12"/>
      <c r="AL12"/>
      <c r="AM12"/>
      <c r="AN12"/>
      <c r="AO12"/>
      <c r="AP12"/>
      <c r="AQ12"/>
      <c r="AR12"/>
      <c r="AS12"/>
      <c r="AT12"/>
      <c r="AU12"/>
      <c r="AV12"/>
      <c r="BB12"/>
      <c r="BK12"/>
      <c r="BL12"/>
      <c r="BM12"/>
      <c r="BR12"/>
    </row>
    <row r="13" spans="1:70" x14ac:dyDescent="0.4">
      <c r="AJ13"/>
      <c r="AK13"/>
      <c r="AL13"/>
      <c r="AM13"/>
      <c r="AN13"/>
      <c r="AO13"/>
      <c r="AP13"/>
      <c r="AQ13"/>
      <c r="AR13"/>
      <c r="AS13"/>
      <c r="AT13"/>
      <c r="AU13"/>
      <c r="AV13"/>
      <c r="BB13"/>
      <c r="BK13"/>
      <c r="BL13"/>
      <c r="BM13"/>
      <c r="BR13"/>
    </row>
    <row r="14" spans="1:70" x14ac:dyDescent="0.4">
      <c r="AJ14"/>
      <c r="AK14"/>
      <c r="AL14"/>
      <c r="AM14"/>
      <c r="AN14"/>
      <c r="AO14"/>
      <c r="AP14"/>
      <c r="AQ14"/>
      <c r="AR14"/>
      <c r="AS14"/>
      <c r="AT14"/>
      <c r="AU14"/>
      <c r="AV14"/>
      <c r="BB14"/>
      <c r="BK14"/>
      <c r="BL14"/>
      <c r="BM14"/>
      <c r="BR14"/>
    </row>
    <row r="15" spans="1:70" x14ac:dyDescent="0.4">
      <c r="AJ15"/>
      <c r="AK15"/>
      <c r="AL15"/>
      <c r="AM15"/>
      <c r="AN15"/>
      <c r="AO15"/>
      <c r="AP15"/>
      <c r="AQ15"/>
      <c r="AR15"/>
      <c r="AS15"/>
      <c r="AT15"/>
      <c r="AU15"/>
      <c r="AV15"/>
      <c r="BB15"/>
      <c r="BK15"/>
      <c r="BL15"/>
      <c r="BM15"/>
      <c r="BR15"/>
    </row>
    <row r="16" spans="1:70" x14ac:dyDescent="0.4">
      <c r="AJ16"/>
      <c r="AK16"/>
      <c r="AL16"/>
      <c r="AM16"/>
      <c r="AN16"/>
      <c r="AO16"/>
      <c r="AP16"/>
      <c r="AQ16"/>
      <c r="AR16"/>
      <c r="AS16"/>
      <c r="AT16"/>
      <c r="AU16"/>
      <c r="AV16"/>
      <c r="BB16"/>
      <c r="BK16"/>
      <c r="BL16"/>
      <c r="BM16"/>
      <c r="BR16"/>
    </row>
    <row r="17" spans="36:70" x14ac:dyDescent="0.4">
      <c r="AJ17"/>
      <c r="AK17"/>
      <c r="AL17"/>
      <c r="AM17"/>
      <c r="AN17"/>
      <c r="AO17"/>
      <c r="AP17"/>
      <c r="AQ17"/>
      <c r="AR17"/>
      <c r="AS17"/>
      <c r="AT17"/>
      <c r="AU17"/>
      <c r="AV17"/>
      <c r="BB17"/>
      <c r="BK17"/>
      <c r="BL17"/>
      <c r="BM17"/>
      <c r="BR17"/>
    </row>
    <row r="18" spans="36:70" x14ac:dyDescent="0.4">
      <c r="AJ18"/>
      <c r="AK18"/>
      <c r="AL18"/>
      <c r="AM18"/>
      <c r="AN18"/>
      <c r="AO18"/>
      <c r="AP18"/>
      <c r="AQ18"/>
      <c r="AR18"/>
      <c r="AS18"/>
      <c r="AT18"/>
      <c r="AU18"/>
      <c r="AV18"/>
      <c r="BB18"/>
      <c r="BK18"/>
      <c r="BL18"/>
      <c r="BM18"/>
      <c r="BR18"/>
    </row>
    <row r="19" spans="36:70" x14ac:dyDescent="0.4">
      <c r="AJ19"/>
      <c r="AK19"/>
      <c r="AL19"/>
      <c r="AM19"/>
      <c r="AN19"/>
      <c r="AO19"/>
      <c r="AP19"/>
      <c r="AQ19"/>
      <c r="AR19"/>
      <c r="AS19"/>
      <c r="AT19"/>
      <c r="AU19"/>
      <c r="AV19"/>
      <c r="BB19"/>
      <c r="BK19"/>
      <c r="BL19"/>
      <c r="BM19"/>
      <c r="BR19"/>
    </row>
    <row r="20" spans="36:70" x14ac:dyDescent="0.4">
      <c r="AJ20"/>
      <c r="AK20"/>
      <c r="AL20"/>
      <c r="AM20"/>
      <c r="AN20"/>
      <c r="AO20"/>
      <c r="AP20"/>
      <c r="AQ20"/>
      <c r="AR20"/>
      <c r="AS20"/>
      <c r="AT20"/>
      <c r="AU20"/>
      <c r="AV20"/>
      <c r="BB20"/>
      <c r="BK20"/>
      <c r="BL20"/>
      <c r="BM20"/>
      <c r="BR20"/>
    </row>
    <row r="21" spans="36:70" x14ac:dyDescent="0.4">
      <c r="AJ21"/>
      <c r="AK21"/>
      <c r="AL21"/>
      <c r="AM21"/>
      <c r="AN21"/>
      <c r="AO21"/>
      <c r="AP21"/>
      <c r="AQ21"/>
      <c r="AR21"/>
      <c r="AS21"/>
      <c r="AT21"/>
      <c r="AU21"/>
      <c r="AV21"/>
      <c r="BB21"/>
      <c r="BK21"/>
      <c r="BL21"/>
      <c r="BM21"/>
      <c r="BR21"/>
    </row>
    <row r="22" spans="36:70" x14ac:dyDescent="0.4">
      <c r="AJ22"/>
      <c r="AK22"/>
      <c r="AL22"/>
      <c r="AM22"/>
      <c r="AN22"/>
      <c r="AO22"/>
      <c r="AP22"/>
      <c r="AQ22"/>
      <c r="AR22"/>
      <c r="AS22"/>
      <c r="AT22"/>
      <c r="AU22"/>
      <c r="AV22"/>
      <c r="BB22"/>
      <c r="BK22"/>
      <c r="BL22"/>
      <c r="BM22"/>
      <c r="BR22"/>
    </row>
    <row r="23" spans="36:70" x14ac:dyDescent="0.4">
      <c r="AJ23"/>
      <c r="AK23"/>
      <c r="AL23"/>
      <c r="AM23"/>
      <c r="AN23"/>
      <c r="AO23"/>
      <c r="AP23"/>
      <c r="AQ23"/>
      <c r="AR23"/>
      <c r="AS23"/>
      <c r="AT23"/>
      <c r="AU23"/>
      <c r="AV23"/>
      <c r="BB23"/>
      <c r="BK23"/>
      <c r="BL23"/>
      <c r="BM23"/>
      <c r="BR23"/>
    </row>
    <row r="24" spans="36:70" x14ac:dyDescent="0.4">
      <c r="AJ24"/>
      <c r="AK24"/>
      <c r="AL24"/>
      <c r="AM24"/>
      <c r="AN24"/>
      <c r="AO24"/>
      <c r="AP24"/>
      <c r="AQ24"/>
      <c r="AR24"/>
      <c r="AS24"/>
      <c r="AT24"/>
      <c r="AU24"/>
      <c r="AV24"/>
      <c r="BB24"/>
      <c r="BK24"/>
      <c r="BL24"/>
      <c r="BM24"/>
      <c r="BR24"/>
    </row>
    <row r="25" spans="36:70" x14ac:dyDescent="0.4">
      <c r="AJ25"/>
      <c r="AK25"/>
      <c r="AL25"/>
      <c r="AM25"/>
      <c r="AN25"/>
      <c r="AO25"/>
      <c r="AP25"/>
      <c r="AQ25"/>
      <c r="AR25"/>
      <c r="AS25"/>
      <c r="AT25"/>
      <c r="AU25"/>
      <c r="AV25"/>
      <c r="BB25"/>
      <c r="BK25"/>
      <c r="BL25"/>
      <c r="BM25"/>
      <c r="BR25"/>
    </row>
    <row r="26" spans="36:70" x14ac:dyDescent="0.4">
      <c r="AJ26"/>
      <c r="AK26"/>
      <c r="AL26"/>
      <c r="AM26"/>
      <c r="AN26"/>
      <c r="AO26"/>
      <c r="AP26"/>
      <c r="AQ26"/>
      <c r="AR26"/>
      <c r="AS26"/>
      <c r="AT26"/>
      <c r="AU26"/>
      <c r="AV26"/>
      <c r="BB26"/>
      <c r="BK26"/>
      <c r="BL26"/>
      <c r="BM26"/>
      <c r="BR26"/>
    </row>
    <row r="27" spans="36:70" x14ac:dyDescent="0.4">
      <c r="AJ27"/>
      <c r="AK27"/>
      <c r="AL27"/>
      <c r="AM27"/>
      <c r="AN27"/>
      <c r="AO27"/>
      <c r="AP27"/>
      <c r="AQ27"/>
      <c r="AR27"/>
      <c r="AS27"/>
      <c r="AT27"/>
      <c r="AU27"/>
      <c r="AV27"/>
      <c r="BB27"/>
      <c r="BK27"/>
      <c r="BL27"/>
      <c r="BM27"/>
      <c r="BR27"/>
    </row>
    <row r="28" spans="36:70" x14ac:dyDescent="0.4">
      <c r="AJ28"/>
      <c r="AK28"/>
      <c r="AL28"/>
      <c r="AM28"/>
      <c r="AN28"/>
      <c r="AO28"/>
      <c r="AP28"/>
      <c r="AQ28"/>
      <c r="AR28"/>
      <c r="AS28"/>
      <c r="AT28"/>
      <c r="AU28"/>
      <c r="AV28"/>
      <c r="BB28"/>
      <c r="BK28"/>
      <c r="BL28"/>
      <c r="BM28"/>
      <c r="BR28"/>
    </row>
    <row r="29" spans="36:70" x14ac:dyDescent="0.4">
      <c r="AJ29"/>
      <c r="AK29"/>
      <c r="AL29"/>
      <c r="AM29"/>
      <c r="AN29"/>
      <c r="AO29"/>
      <c r="AP29"/>
      <c r="AQ29"/>
      <c r="AR29"/>
      <c r="AS29"/>
      <c r="AT29"/>
      <c r="AU29"/>
      <c r="AV29"/>
      <c r="BB29"/>
      <c r="BK29"/>
      <c r="BL29"/>
      <c r="BM29"/>
      <c r="BR29"/>
    </row>
    <row r="30" spans="36:70" x14ac:dyDescent="0.4">
      <c r="AJ30"/>
      <c r="AK30"/>
      <c r="AL30"/>
      <c r="AM30"/>
      <c r="AN30"/>
      <c r="AO30"/>
      <c r="AP30"/>
      <c r="AQ30"/>
      <c r="AR30"/>
      <c r="AS30"/>
      <c r="AT30"/>
      <c r="AU30"/>
      <c r="AV30"/>
      <c r="BB30"/>
      <c r="BK30"/>
      <c r="BL30"/>
      <c r="BM30"/>
      <c r="BR30"/>
    </row>
    <row r="31" spans="36:70" x14ac:dyDescent="0.4">
      <c r="AJ31"/>
      <c r="AK31"/>
      <c r="AL31"/>
      <c r="AM31"/>
      <c r="AN31"/>
      <c r="AO31"/>
      <c r="AP31"/>
      <c r="AQ31"/>
      <c r="AR31"/>
      <c r="AS31"/>
      <c r="AT31"/>
      <c r="AU31"/>
      <c r="AV31"/>
      <c r="BB31"/>
      <c r="BK31"/>
      <c r="BL31"/>
      <c r="BM31"/>
      <c r="BR31"/>
    </row>
    <row r="32" spans="36:70" x14ac:dyDescent="0.4">
      <c r="AJ32"/>
      <c r="AK32"/>
      <c r="AL32"/>
      <c r="AM32"/>
      <c r="AN32"/>
      <c r="AO32"/>
      <c r="AP32"/>
      <c r="AQ32"/>
      <c r="AR32"/>
      <c r="AS32"/>
      <c r="AT32"/>
      <c r="AU32"/>
      <c r="AV32"/>
      <c r="BB32"/>
      <c r="BK32"/>
      <c r="BL32"/>
      <c r="BM32"/>
      <c r="BR32"/>
    </row>
    <row r="33" spans="36:70" x14ac:dyDescent="0.4">
      <c r="AJ33"/>
      <c r="AK33"/>
      <c r="AL33"/>
      <c r="AM33"/>
      <c r="AN33"/>
      <c r="AO33"/>
      <c r="AP33"/>
      <c r="AQ33"/>
      <c r="AR33"/>
      <c r="AS33"/>
      <c r="AT33"/>
      <c r="AU33"/>
      <c r="AV33"/>
      <c r="BB33"/>
      <c r="BK33"/>
      <c r="BL33"/>
      <c r="BM33"/>
      <c r="BR33"/>
    </row>
    <row r="34" spans="36:70" x14ac:dyDescent="0.4">
      <c r="AJ34"/>
      <c r="AK34"/>
      <c r="AL34"/>
      <c r="AM34"/>
      <c r="AN34"/>
      <c r="AO34"/>
      <c r="AP34"/>
      <c r="AQ34"/>
      <c r="AR34"/>
      <c r="AS34"/>
      <c r="AT34"/>
      <c r="AU34"/>
      <c r="AV34"/>
      <c r="BB34"/>
      <c r="BK34"/>
      <c r="BL34"/>
      <c r="BM34"/>
      <c r="BR34"/>
    </row>
    <row r="35" spans="36:70" x14ac:dyDescent="0.4">
      <c r="AJ35"/>
      <c r="AK35"/>
      <c r="AL35"/>
      <c r="AM35"/>
      <c r="AN35"/>
      <c r="AO35"/>
      <c r="AP35"/>
      <c r="AQ35"/>
      <c r="AR35"/>
      <c r="AS35"/>
      <c r="AT35"/>
      <c r="AU35"/>
      <c r="AV35"/>
      <c r="BB35"/>
      <c r="BK35"/>
      <c r="BL35"/>
      <c r="BM35"/>
      <c r="BR35"/>
    </row>
    <row r="36" spans="36:70" x14ac:dyDescent="0.4">
      <c r="AJ36"/>
      <c r="AK36"/>
      <c r="AL36"/>
      <c r="AM36"/>
      <c r="AN36"/>
      <c r="AO36"/>
      <c r="AP36"/>
      <c r="AQ36"/>
      <c r="AR36"/>
      <c r="AS36"/>
      <c r="AT36"/>
      <c r="AU36"/>
      <c r="AV36"/>
      <c r="BB36"/>
      <c r="BK36"/>
      <c r="BL36"/>
      <c r="BM36"/>
      <c r="BR36"/>
    </row>
    <row r="37" spans="36:70" x14ac:dyDescent="0.4">
      <c r="AM37"/>
      <c r="AN37"/>
      <c r="AO37"/>
      <c r="AP37"/>
      <c r="AQ37"/>
      <c r="AR37"/>
      <c r="AS37"/>
      <c r="AT37" s="2"/>
      <c r="AU37" s="2"/>
      <c r="BA37" s="3"/>
      <c r="BB37"/>
      <c r="BK37"/>
      <c r="BL37"/>
      <c r="BM37"/>
      <c r="BR37"/>
    </row>
    <row r="38" spans="36:70" x14ac:dyDescent="0.4">
      <c r="AR38"/>
      <c r="AS38"/>
      <c r="AT38"/>
      <c r="AU38"/>
      <c r="AV38"/>
      <c r="AY38" s="2"/>
      <c r="AZ38" s="2"/>
      <c r="BA38" s="2"/>
      <c r="BB38"/>
      <c r="BF38" s="3"/>
      <c r="BK38"/>
      <c r="BL38"/>
      <c r="BM38"/>
      <c r="BR38"/>
    </row>
    <row r="39" spans="36:70" x14ac:dyDescent="0.4">
      <c r="AR39"/>
      <c r="AS39"/>
      <c r="AT39"/>
      <c r="AU39"/>
      <c r="AV39"/>
      <c r="AY39" s="2"/>
      <c r="AZ39" s="2"/>
      <c r="BA39" s="2"/>
      <c r="BB39"/>
      <c r="BF39" s="3"/>
      <c r="BK39"/>
      <c r="BL39"/>
      <c r="BM39"/>
      <c r="BR39"/>
    </row>
    <row r="40" spans="36:70" x14ac:dyDescent="0.4">
      <c r="AR40"/>
      <c r="AS40"/>
      <c r="AT40"/>
      <c r="AU40"/>
      <c r="AV40"/>
      <c r="AY40" s="2"/>
      <c r="AZ40" s="2"/>
      <c r="BA40" s="2"/>
      <c r="BB40"/>
      <c r="BF40" s="3"/>
      <c r="BK40"/>
      <c r="BL40"/>
      <c r="BM40"/>
      <c r="BR40"/>
    </row>
    <row r="41" spans="36:70" x14ac:dyDescent="0.4">
      <c r="AR41"/>
      <c r="AS41"/>
      <c r="AT41"/>
      <c r="AU41"/>
      <c r="AV41"/>
      <c r="AY41" s="2"/>
      <c r="AZ41" s="2"/>
      <c r="BA41" s="2"/>
      <c r="BB41"/>
      <c r="BF41" s="3"/>
      <c r="BK41"/>
      <c r="BL41"/>
      <c r="BM41"/>
      <c r="BR41"/>
    </row>
    <row r="42" spans="36:70" x14ac:dyDescent="0.4">
      <c r="AR42"/>
      <c r="AS42"/>
      <c r="AT42"/>
      <c r="AU42"/>
      <c r="AV42"/>
      <c r="AY42" s="2"/>
      <c r="AZ42" s="2"/>
      <c r="BA42" s="2"/>
      <c r="BB42"/>
      <c r="BF42" s="3"/>
      <c r="BK42"/>
      <c r="BL42"/>
      <c r="BM42"/>
      <c r="BR42"/>
    </row>
    <row r="43" spans="36:70" x14ac:dyDescent="0.4">
      <c r="AR43"/>
      <c r="AS43"/>
      <c r="AT43"/>
      <c r="AU43"/>
      <c r="AV43"/>
      <c r="AY43" s="2"/>
      <c r="AZ43" s="2"/>
      <c r="BA43" s="2"/>
      <c r="BB43"/>
      <c r="BF43" s="3"/>
      <c r="BK43"/>
      <c r="BL43"/>
      <c r="BM43"/>
      <c r="BR43"/>
    </row>
    <row r="44" spans="36:70" x14ac:dyDescent="0.4">
      <c r="AR44"/>
      <c r="AS44"/>
      <c r="AT44"/>
      <c r="AU44"/>
      <c r="AV44"/>
      <c r="AY44" s="2"/>
      <c r="AZ44" s="2"/>
      <c r="BA44" s="2"/>
      <c r="BB44"/>
      <c r="BF44" s="3"/>
      <c r="BK44"/>
      <c r="BL44"/>
      <c r="BM44"/>
      <c r="BR44"/>
    </row>
    <row r="45" spans="36:70" x14ac:dyDescent="0.4">
      <c r="AR45"/>
      <c r="AS45"/>
      <c r="AT45"/>
      <c r="AU45"/>
      <c r="AV45"/>
      <c r="AY45" s="2"/>
      <c r="AZ45" s="2"/>
      <c r="BA45" s="2"/>
      <c r="BB45"/>
      <c r="BF45" s="3"/>
      <c r="BK45"/>
      <c r="BL45"/>
      <c r="BM45"/>
      <c r="BR45"/>
    </row>
    <row r="46" spans="36:70" x14ac:dyDescent="0.4">
      <c r="AR46"/>
      <c r="AS46"/>
      <c r="AT46"/>
      <c r="AU46"/>
      <c r="AV46"/>
      <c r="AY46" s="2"/>
      <c r="AZ46" s="2"/>
      <c r="BA46" s="2"/>
      <c r="BB46"/>
      <c r="BF46" s="3"/>
      <c r="BK46"/>
      <c r="BL46"/>
      <c r="BM46"/>
      <c r="BR46"/>
    </row>
    <row r="47" spans="36:70" x14ac:dyDescent="0.4">
      <c r="AR47"/>
      <c r="AS47"/>
      <c r="AT47"/>
      <c r="AU47"/>
      <c r="AV47"/>
      <c r="AY47" s="2"/>
      <c r="AZ47" s="2"/>
      <c r="BA47" s="2"/>
      <c r="BB47"/>
      <c r="BF47" s="3"/>
      <c r="BK47"/>
      <c r="BL47"/>
      <c r="BM47"/>
      <c r="BR47"/>
    </row>
    <row r="48" spans="36:70" x14ac:dyDescent="0.4">
      <c r="AR48"/>
      <c r="AS48"/>
      <c r="AT48"/>
      <c r="AU48"/>
      <c r="AV48"/>
      <c r="AY48" s="2"/>
      <c r="AZ48" s="2"/>
      <c r="BA48" s="2"/>
      <c r="BB48"/>
      <c r="BF48" s="3"/>
      <c r="BK48"/>
      <c r="BL48"/>
      <c r="BM48"/>
      <c r="BR48"/>
    </row>
    <row r="49" spans="44:70" x14ac:dyDescent="0.4">
      <c r="AR49"/>
      <c r="AS49"/>
      <c r="AT49"/>
      <c r="AU49"/>
      <c r="AV49"/>
      <c r="AY49" s="2"/>
      <c r="AZ49" s="2"/>
      <c r="BA49" s="2"/>
      <c r="BB49"/>
      <c r="BF49" s="3"/>
      <c r="BK49"/>
      <c r="BL49"/>
      <c r="BM49"/>
      <c r="BR49"/>
    </row>
    <row r="50" spans="44:70" x14ac:dyDescent="0.4">
      <c r="AR50"/>
      <c r="AS50"/>
      <c r="AT50"/>
      <c r="AU50"/>
      <c r="AV50"/>
      <c r="AY50" s="2"/>
      <c r="AZ50" s="2"/>
      <c r="BA50" s="2"/>
      <c r="BB50"/>
      <c r="BF50" s="3"/>
      <c r="BK50"/>
      <c r="BL50"/>
      <c r="BM50"/>
      <c r="BR50"/>
    </row>
    <row r="51" spans="44:70" x14ac:dyDescent="0.4">
      <c r="AR51"/>
      <c r="AS51"/>
      <c r="AT51"/>
      <c r="AU51"/>
      <c r="AV51"/>
      <c r="AY51" s="2"/>
      <c r="AZ51" s="2"/>
      <c r="BA51" s="2"/>
      <c r="BB51"/>
      <c r="BF51" s="3"/>
      <c r="BK51"/>
      <c r="BL51"/>
      <c r="BM51"/>
      <c r="BR51"/>
    </row>
    <row r="52" spans="44:70" x14ac:dyDescent="0.4">
      <c r="AR52"/>
      <c r="AS52"/>
      <c r="AT52"/>
      <c r="AU52"/>
      <c r="AV52"/>
      <c r="AY52" s="2"/>
      <c r="AZ52" s="2"/>
      <c r="BA52" s="2"/>
      <c r="BB52"/>
      <c r="BF52" s="3"/>
      <c r="BK52"/>
      <c r="BL52"/>
      <c r="BM52"/>
      <c r="BR52"/>
    </row>
    <row r="53" spans="44:70" x14ac:dyDescent="0.4">
      <c r="AR53"/>
      <c r="AS53"/>
      <c r="AT53"/>
      <c r="AU53"/>
      <c r="AV53"/>
      <c r="AY53" s="2"/>
      <c r="AZ53" s="2"/>
      <c r="BA53" s="2"/>
      <c r="BB53"/>
      <c r="BF53" s="3"/>
      <c r="BK53"/>
      <c r="BL53"/>
      <c r="BM53"/>
      <c r="BR53"/>
    </row>
    <row r="54" spans="44:70" x14ac:dyDescent="0.4">
      <c r="AR54"/>
      <c r="AS54"/>
      <c r="AT54"/>
      <c r="AU54"/>
      <c r="AV54"/>
      <c r="AY54" s="2"/>
      <c r="AZ54" s="2"/>
      <c r="BA54" s="2"/>
      <c r="BB54"/>
      <c r="BF54" s="3"/>
      <c r="BK54"/>
      <c r="BL54"/>
      <c r="BM54"/>
      <c r="BR54"/>
    </row>
    <row r="55" spans="44:70" x14ac:dyDescent="0.4">
      <c r="AR55"/>
      <c r="AS55"/>
      <c r="AT55"/>
      <c r="AU55"/>
      <c r="AV55"/>
      <c r="AY55" s="2"/>
      <c r="AZ55" s="2"/>
      <c r="BA55" s="2"/>
      <c r="BB55"/>
      <c r="BF55" s="3"/>
      <c r="BK55"/>
      <c r="BL55"/>
      <c r="BM55"/>
      <c r="BR55"/>
    </row>
    <row r="56" spans="44:70" x14ac:dyDescent="0.4">
      <c r="AR56"/>
      <c r="AS56"/>
      <c r="AT56"/>
      <c r="AU56"/>
      <c r="AV56"/>
      <c r="AY56" s="2"/>
      <c r="AZ56" s="2"/>
      <c r="BA56" s="2"/>
      <c r="BB56"/>
      <c r="BF56" s="3"/>
      <c r="BK56"/>
      <c r="BL56"/>
      <c r="BM56"/>
      <c r="BR56"/>
    </row>
    <row r="57" spans="44:70" x14ac:dyDescent="0.4">
      <c r="AR57"/>
      <c r="AS57"/>
      <c r="AT57"/>
      <c r="AU57"/>
      <c r="AV57"/>
      <c r="AY57" s="2"/>
      <c r="AZ57" s="2"/>
      <c r="BA57" s="2"/>
      <c r="BB57"/>
      <c r="BF57" s="3"/>
      <c r="BK57"/>
      <c r="BL57"/>
      <c r="BM57"/>
      <c r="BR57"/>
    </row>
    <row r="58" spans="44:70" x14ac:dyDescent="0.4">
      <c r="AR58"/>
      <c r="AS58"/>
      <c r="AT58"/>
      <c r="AU58"/>
      <c r="AV58"/>
      <c r="AY58" s="2"/>
      <c r="AZ58" s="2"/>
      <c r="BA58" s="2"/>
      <c r="BB58"/>
      <c r="BF58" s="3"/>
      <c r="BK58"/>
      <c r="BL58"/>
      <c r="BM58"/>
      <c r="BR58"/>
    </row>
    <row r="59" spans="44:70" x14ac:dyDescent="0.4">
      <c r="AR59"/>
      <c r="AS59"/>
      <c r="AT59"/>
      <c r="AU59"/>
      <c r="AV59"/>
      <c r="AY59" s="2"/>
      <c r="AZ59" s="2"/>
      <c r="BA59" s="2"/>
      <c r="BB59"/>
      <c r="BF59" s="3"/>
      <c r="BK59"/>
      <c r="BL59"/>
      <c r="BM59"/>
      <c r="BR59"/>
    </row>
    <row r="60" spans="44:70" x14ac:dyDescent="0.4">
      <c r="AR60"/>
      <c r="AS60"/>
      <c r="AT60"/>
      <c r="AU60"/>
      <c r="AV60"/>
      <c r="AY60" s="2"/>
      <c r="AZ60" s="2"/>
      <c r="BA60" s="2"/>
      <c r="BB60"/>
      <c r="BF60" s="3"/>
      <c r="BK60"/>
      <c r="BL60"/>
      <c r="BM60"/>
      <c r="BR60"/>
    </row>
    <row r="61" spans="44:70" x14ac:dyDescent="0.4">
      <c r="AR61"/>
      <c r="AS61"/>
      <c r="AT61"/>
      <c r="AU61"/>
      <c r="AV61"/>
      <c r="AY61" s="2"/>
      <c r="AZ61" s="2"/>
      <c r="BA61" s="2"/>
      <c r="BB61"/>
      <c r="BF61" s="3"/>
      <c r="BK61"/>
      <c r="BL61"/>
      <c r="BM61"/>
      <c r="BR61"/>
    </row>
    <row r="62" spans="44:70" x14ac:dyDescent="0.4">
      <c r="AR62"/>
      <c r="AS62"/>
      <c r="AT62"/>
      <c r="AU62"/>
      <c r="AV62"/>
      <c r="AY62" s="2"/>
      <c r="AZ62" s="2"/>
      <c r="BA62" s="2"/>
      <c r="BB62"/>
      <c r="BF62" s="3"/>
      <c r="BK62"/>
      <c r="BL62"/>
      <c r="BM62"/>
      <c r="BR62"/>
    </row>
    <row r="63" spans="44:70" x14ac:dyDescent="0.4">
      <c r="AR63"/>
      <c r="AS63"/>
      <c r="AT63"/>
      <c r="AU63"/>
      <c r="AV63"/>
      <c r="AY63" s="2"/>
      <c r="AZ63" s="2"/>
      <c r="BA63" s="2"/>
      <c r="BB63"/>
      <c r="BF63" s="3"/>
      <c r="BK63"/>
      <c r="BL63"/>
      <c r="BM63"/>
      <c r="BR63"/>
    </row>
    <row r="64" spans="44:70" x14ac:dyDescent="0.4">
      <c r="AR64"/>
      <c r="AS64"/>
      <c r="AT64"/>
      <c r="AU64"/>
      <c r="AV64"/>
      <c r="AY64" s="2"/>
      <c r="AZ64" s="2"/>
      <c r="BA64" s="2"/>
      <c r="BB64"/>
      <c r="BF64" s="3"/>
      <c r="BK64"/>
      <c r="BL64"/>
      <c r="BM64"/>
      <c r="BR64"/>
    </row>
    <row r="65" spans="44:70" x14ac:dyDescent="0.4">
      <c r="AR65"/>
      <c r="AS65"/>
      <c r="AT65"/>
      <c r="AU65"/>
      <c r="AV65"/>
      <c r="AY65" s="2"/>
      <c r="AZ65" s="2"/>
      <c r="BA65" s="2"/>
      <c r="BB65"/>
      <c r="BF65" s="3"/>
      <c r="BK65"/>
      <c r="BL65"/>
      <c r="BM65"/>
      <c r="BR65"/>
    </row>
    <row r="66" spans="44:70" x14ac:dyDescent="0.4">
      <c r="AR66"/>
      <c r="AS66"/>
      <c r="AT66"/>
      <c r="AU66"/>
      <c r="AV66"/>
      <c r="AY66" s="2"/>
      <c r="AZ66" s="2"/>
      <c r="BA66" s="2"/>
      <c r="BB66"/>
      <c r="BF66" s="3"/>
      <c r="BK66"/>
      <c r="BL66"/>
      <c r="BM66"/>
      <c r="BR66"/>
    </row>
    <row r="67" spans="44:70" x14ac:dyDescent="0.4">
      <c r="AR67"/>
      <c r="AS67"/>
      <c r="AT67"/>
      <c r="AU67"/>
      <c r="AV67"/>
      <c r="AY67" s="2"/>
      <c r="AZ67" s="2"/>
      <c r="BA67" s="2"/>
      <c r="BB67"/>
      <c r="BF67" s="3"/>
      <c r="BK67"/>
      <c r="BL67"/>
      <c r="BM67"/>
      <c r="BR67"/>
    </row>
    <row r="68" spans="44:70" x14ac:dyDescent="0.4">
      <c r="AR68"/>
      <c r="AS68"/>
      <c r="AT68"/>
      <c r="AU68"/>
      <c r="AV68"/>
      <c r="AY68" s="2"/>
      <c r="AZ68" s="2"/>
      <c r="BA68" s="2"/>
      <c r="BB68"/>
      <c r="BF68" s="3"/>
      <c r="BK68"/>
      <c r="BL68"/>
      <c r="BM68"/>
      <c r="BR68"/>
    </row>
    <row r="69" spans="44:70" x14ac:dyDescent="0.4">
      <c r="AR69"/>
      <c r="AS69"/>
      <c r="AT69"/>
      <c r="AU69"/>
      <c r="AV69"/>
      <c r="AY69" s="2"/>
      <c r="AZ69" s="2"/>
      <c r="BA69" s="2"/>
      <c r="BB69"/>
      <c r="BF69" s="3"/>
      <c r="BK69"/>
      <c r="BL69"/>
      <c r="BM69"/>
      <c r="BR69"/>
    </row>
    <row r="70" spans="44:70" x14ac:dyDescent="0.4">
      <c r="AR70"/>
      <c r="AS70"/>
      <c r="AT70"/>
      <c r="AU70"/>
      <c r="AV70"/>
      <c r="AY70" s="2"/>
      <c r="AZ70" s="2"/>
      <c r="BA70" s="2"/>
      <c r="BB70"/>
      <c r="BF70" s="3"/>
      <c r="BK70"/>
      <c r="BL70"/>
      <c r="BM70"/>
      <c r="BR70"/>
    </row>
    <row r="71" spans="44:70" x14ac:dyDescent="0.4">
      <c r="AR71"/>
      <c r="AS71"/>
      <c r="AT71"/>
      <c r="AU71"/>
      <c r="AV71"/>
      <c r="AY71" s="2"/>
      <c r="AZ71" s="2"/>
      <c r="BA71" s="2"/>
      <c r="BB71"/>
      <c r="BF71" s="3"/>
      <c r="BK71"/>
      <c r="BL71"/>
      <c r="BM71"/>
      <c r="BR71"/>
    </row>
    <row r="72" spans="44:70" x14ac:dyDescent="0.4">
      <c r="AR72"/>
      <c r="AS72"/>
      <c r="AT72"/>
      <c r="AU72"/>
      <c r="AV72"/>
      <c r="AY72" s="2"/>
      <c r="AZ72" s="2"/>
      <c r="BA72" s="2"/>
      <c r="BB72"/>
      <c r="BF72" s="3"/>
      <c r="BK72"/>
      <c r="BL72"/>
      <c r="BM72"/>
      <c r="BR72"/>
    </row>
    <row r="73" spans="44:70" x14ac:dyDescent="0.4">
      <c r="AR73"/>
      <c r="AS73"/>
      <c r="AT73"/>
      <c r="AU73"/>
      <c r="AV73"/>
      <c r="AY73" s="2"/>
      <c r="AZ73" s="2"/>
      <c r="BA73" s="2"/>
      <c r="BB73"/>
      <c r="BF73" s="3"/>
      <c r="BK73"/>
      <c r="BL73"/>
      <c r="BM73"/>
      <c r="BR73"/>
    </row>
    <row r="74" spans="44:70" x14ac:dyDescent="0.4">
      <c r="AR74"/>
      <c r="AS74"/>
      <c r="AT74"/>
      <c r="AU74"/>
      <c r="AV74"/>
      <c r="AY74" s="2"/>
      <c r="AZ74" s="2"/>
      <c r="BA74" s="2"/>
      <c r="BB74"/>
      <c r="BF74" s="3"/>
      <c r="BK74"/>
      <c r="BL74"/>
      <c r="BM74"/>
      <c r="BR74"/>
    </row>
    <row r="75" spans="44:70" x14ac:dyDescent="0.4">
      <c r="AR75"/>
      <c r="AS75"/>
      <c r="AT75"/>
      <c r="AU75"/>
      <c r="AV75"/>
      <c r="AY75" s="2"/>
      <c r="AZ75" s="2"/>
      <c r="BA75" s="2"/>
      <c r="BB75"/>
      <c r="BF75" s="3"/>
      <c r="BK75"/>
      <c r="BL75"/>
      <c r="BM75"/>
      <c r="BR75"/>
    </row>
    <row r="76" spans="44:70" x14ac:dyDescent="0.4">
      <c r="AR76"/>
      <c r="AS76"/>
      <c r="AT76"/>
      <c r="AU76"/>
      <c r="AV76"/>
      <c r="AY76" s="2"/>
      <c r="AZ76" s="2"/>
      <c r="BA76" s="2"/>
      <c r="BB76"/>
      <c r="BF76" s="3"/>
      <c r="BK76"/>
      <c r="BL76"/>
      <c r="BM76"/>
      <c r="BR76"/>
    </row>
    <row r="77" spans="44:70" x14ac:dyDescent="0.4">
      <c r="AR77"/>
      <c r="AS77"/>
      <c r="AT77"/>
      <c r="AU77"/>
      <c r="AV77"/>
      <c r="AY77" s="2"/>
      <c r="AZ77" s="2"/>
      <c r="BA77" s="2"/>
      <c r="BB77"/>
      <c r="BF77" s="3"/>
      <c r="BK77"/>
      <c r="BL77"/>
      <c r="BM77"/>
      <c r="BR77"/>
    </row>
    <row r="78" spans="44:70" x14ac:dyDescent="0.4">
      <c r="AR78"/>
      <c r="AS78"/>
      <c r="AT78"/>
      <c r="AU78"/>
      <c r="AV78"/>
      <c r="AY78" s="2"/>
      <c r="AZ78" s="2"/>
      <c r="BA78" s="2"/>
      <c r="BB78"/>
      <c r="BF78" s="3"/>
      <c r="BK78"/>
      <c r="BL78"/>
      <c r="BM78"/>
      <c r="BR78"/>
    </row>
    <row r="79" spans="44:70" x14ac:dyDescent="0.4">
      <c r="AR79"/>
      <c r="AS79"/>
      <c r="AT79"/>
      <c r="AU79"/>
      <c r="AV79"/>
      <c r="AY79" s="2"/>
      <c r="AZ79" s="2"/>
      <c r="BA79" s="2"/>
      <c r="BB79"/>
      <c r="BF79" s="3"/>
      <c r="BK79"/>
      <c r="BL79"/>
      <c r="BM79"/>
      <c r="BR79"/>
    </row>
    <row r="80" spans="44:70" x14ac:dyDescent="0.4">
      <c r="AR80"/>
      <c r="AS80"/>
      <c r="AT80"/>
      <c r="AU80"/>
      <c r="AV80"/>
      <c r="AY80" s="2"/>
      <c r="AZ80" s="2"/>
      <c r="BA80" s="2"/>
      <c r="BB80"/>
      <c r="BF80" s="3"/>
      <c r="BK80"/>
      <c r="BL80"/>
      <c r="BM80"/>
      <c r="BR80"/>
    </row>
    <row r="81" spans="44:70" x14ac:dyDescent="0.4">
      <c r="AR81"/>
      <c r="AS81"/>
      <c r="AT81"/>
      <c r="AU81"/>
      <c r="AV81"/>
      <c r="AY81" s="2"/>
      <c r="AZ81" s="2"/>
      <c r="BA81" s="2"/>
      <c r="BB81"/>
      <c r="BF81" s="3"/>
      <c r="BK81"/>
      <c r="BL81"/>
      <c r="BM81"/>
      <c r="BR81"/>
    </row>
    <row r="82" spans="44:70" x14ac:dyDescent="0.4">
      <c r="AR82"/>
      <c r="AS82"/>
      <c r="AT82"/>
      <c r="AU82"/>
      <c r="AV82"/>
      <c r="AY82" s="2"/>
      <c r="AZ82" s="2"/>
      <c r="BA82" s="2"/>
      <c r="BB82"/>
      <c r="BF82" s="3"/>
      <c r="BK82"/>
      <c r="BL82"/>
      <c r="BM82"/>
      <c r="BR82"/>
    </row>
    <row r="83" spans="44:70" x14ac:dyDescent="0.4">
      <c r="AR83"/>
      <c r="AS83"/>
      <c r="AT83"/>
      <c r="AU83"/>
      <c r="AV83"/>
      <c r="AY83" s="2"/>
      <c r="AZ83" s="2"/>
      <c r="BA83" s="2"/>
      <c r="BB83"/>
      <c r="BF83" s="3"/>
      <c r="BK83"/>
      <c r="BL83"/>
      <c r="BM83"/>
      <c r="BR83"/>
    </row>
    <row r="84" spans="44:70" x14ac:dyDescent="0.4">
      <c r="AR84"/>
      <c r="AS84"/>
      <c r="AT84"/>
      <c r="AU84"/>
      <c r="AV84"/>
      <c r="AY84" s="2"/>
      <c r="AZ84" s="2"/>
      <c r="BA84" s="2"/>
      <c r="BB84"/>
      <c r="BF84" s="3"/>
      <c r="BK84"/>
      <c r="BL84"/>
      <c r="BM84"/>
      <c r="BR84"/>
    </row>
    <row r="85" spans="44:70" x14ac:dyDescent="0.4">
      <c r="AR85"/>
      <c r="AS85"/>
      <c r="AT85"/>
      <c r="AU85"/>
      <c r="AV85"/>
      <c r="AY85" s="2"/>
      <c r="AZ85" s="2"/>
      <c r="BA85" s="2"/>
      <c r="BB85"/>
      <c r="BF85" s="3"/>
      <c r="BK85"/>
      <c r="BL85"/>
      <c r="BM85"/>
      <c r="BR85"/>
    </row>
    <row r="86" spans="44:70" x14ac:dyDescent="0.4">
      <c r="AR86"/>
      <c r="AS86"/>
      <c r="AT86"/>
      <c r="AU86"/>
      <c r="AV86"/>
      <c r="AY86" s="2"/>
      <c r="AZ86" s="2"/>
      <c r="BA86" s="2"/>
      <c r="BB86"/>
      <c r="BF86" s="3"/>
      <c r="BK86"/>
      <c r="BL86"/>
      <c r="BM86"/>
      <c r="BR86"/>
    </row>
    <row r="87" spans="44:70" x14ac:dyDescent="0.4">
      <c r="AR87"/>
      <c r="AS87"/>
      <c r="AT87"/>
      <c r="AU87"/>
      <c r="AV87"/>
      <c r="AY87" s="2"/>
      <c r="AZ87" s="2"/>
      <c r="BA87" s="2"/>
      <c r="BB87"/>
      <c r="BF87" s="3"/>
      <c r="BK87"/>
      <c r="BL87"/>
      <c r="BM87"/>
      <c r="BR87"/>
    </row>
    <row r="88" spans="44:70" x14ac:dyDescent="0.4">
      <c r="AR88"/>
      <c r="AS88"/>
      <c r="AT88"/>
      <c r="AU88"/>
      <c r="AV88"/>
      <c r="AY88" s="2"/>
      <c r="AZ88" s="2"/>
      <c r="BA88" s="2"/>
      <c r="BB88"/>
      <c r="BF88" s="3"/>
      <c r="BK88"/>
      <c r="BL88"/>
      <c r="BM88"/>
      <c r="BR88"/>
    </row>
    <row r="89" spans="44:70" x14ac:dyDescent="0.4">
      <c r="AR89"/>
      <c r="AS89"/>
      <c r="AT89"/>
      <c r="AU89"/>
      <c r="AV89"/>
      <c r="AY89" s="2"/>
      <c r="AZ89" s="2"/>
      <c r="BA89" s="2"/>
      <c r="BB89"/>
      <c r="BF89" s="3"/>
      <c r="BK89"/>
      <c r="BL89"/>
      <c r="BM89"/>
      <c r="BR89"/>
    </row>
    <row r="90" spans="44:70" x14ac:dyDescent="0.4">
      <c r="AR90"/>
      <c r="AS90"/>
      <c r="AT90"/>
      <c r="AU90"/>
      <c r="AV90"/>
      <c r="AY90" s="2"/>
      <c r="AZ90" s="2"/>
      <c r="BA90" s="2"/>
      <c r="BB90"/>
      <c r="BF90" s="3"/>
      <c r="BK90"/>
      <c r="BL90"/>
      <c r="BM90"/>
      <c r="BR90"/>
    </row>
    <row r="91" spans="44:70" x14ac:dyDescent="0.4">
      <c r="AR91"/>
      <c r="AS91"/>
      <c r="AT91"/>
      <c r="AU91"/>
      <c r="AV91"/>
      <c r="AY91" s="2"/>
      <c r="AZ91" s="2"/>
      <c r="BA91" s="2"/>
      <c r="BB91"/>
      <c r="BF91" s="3"/>
      <c r="BK91"/>
      <c r="BL91"/>
      <c r="BM91"/>
      <c r="BR91"/>
    </row>
    <row r="92" spans="44:70" x14ac:dyDescent="0.4">
      <c r="AR92"/>
      <c r="AS92"/>
      <c r="AT92"/>
      <c r="AU92"/>
      <c r="AV92"/>
      <c r="AY92" s="2"/>
      <c r="AZ92" s="2"/>
      <c r="BA92" s="2"/>
      <c r="BB92"/>
      <c r="BF92" s="3"/>
      <c r="BK92"/>
      <c r="BL92"/>
      <c r="BM92"/>
      <c r="BR92"/>
    </row>
    <row r="93" spans="44:70" x14ac:dyDescent="0.4">
      <c r="AR93"/>
      <c r="AS93"/>
      <c r="AT93"/>
      <c r="AU93"/>
      <c r="AV93"/>
      <c r="AY93" s="2"/>
      <c r="AZ93" s="2"/>
      <c r="BA93" s="2"/>
      <c r="BB93"/>
      <c r="BF93" s="3"/>
      <c r="BK93"/>
      <c r="BL93"/>
      <c r="BM93"/>
      <c r="BR93"/>
    </row>
    <row r="94" spans="44:70" x14ac:dyDescent="0.4">
      <c r="AR94"/>
      <c r="AS94"/>
      <c r="AT94"/>
      <c r="AU94"/>
      <c r="AV94"/>
      <c r="AY94" s="2"/>
      <c r="AZ94" s="2"/>
      <c r="BA94" s="2"/>
      <c r="BB94"/>
      <c r="BF94" s="3"/>
      <c r="BK94"/>
      <c r="BL94"/>
      <c r="BM94"/>
      <c r="BR94"/>
    </row>
    <row r="95" spans="44:70" x14ac:dyDescent="0.4">
      <c r="AR95"/>
      <c r="AS95"/>
      <c r="AT95"/>
      <c r="AU95"/>
      <c r="AV95"/>
      <c r="AY95" s="2"/>
      <c r="AZ95" s="2"/>
      <c r="BA95" s="2"/>
      <c r="BB95"/>
      <c r="BF95" s="3"/>
      <c r="BK95"/>
      <c r="BL95"/>
      <c r="BM95"/>
      <c r="BR95"/>
    </row>
    <row r="96" spans="44:70" x14ac:dyDescent="0.4">
      <c r="AR96"/>
      <c r="AS96"/>
      <c r="AT96"/>
      <c r="AU96"/>
      <c r="AV96"/>
      <c r="AY96" s="2"/>
      <c r="AZ96" s="2"/>
      <c r="BA96" s="2"/>
      <c r="BB96"/>
      <c r="BF96" s="3"/>
      <c r="BK96"/>
      <c r="BL96"/>
      <c r="BM96"/>
      <c r="BR96"/>
    </row>
    <row r="97" spans="44:70" x14ac:dyDescent="0.4">
      <c r="AR97"/>
      <c r="AS97"/>
      <c r="AT97"/>
      <c r="AU97"/>
      <c r="AV97"/>
      <c r="AY97" s="2"/>
      <c r="AZ97" s="2"/>
      <c r="BA97" s="2"/>
      <c r="BB97"/>
      <c r="BF97" s="3"/>
      <c r="BK97"/>
      <c r="BL97"/>
      <c r="BM97"/>
      <c r="BR97"/>
    </row>
    <row r="98" spans="44:70" x14ac:dyDescent="0.4">
      <c r="AR98"/>
      <c r="AS98"/>
      <c r="AT98"/>
      <c r="AU98"/>
      <c r="AV98"/>
      <c r="AY98" s="2"/>
      <c r="AZ98" s="2"/>
      <c r="BA98" s="2"/>
      <c r="BB98"/>
      <c r="BF98" s="3"/>
      <c r="BK98"/>
      <c r="BL98"/>
      <c r="BM98"/>
      <c r="BR98"/>
    </row>
    <row r="99" spans="44:70" x14ac:dyDescent="0.4">
      <c r="AR99"/>
      <c r="AS99"/>
      <c r="AT99"/>
      <c r="AU99"/>
      <c r="AV99"/>
      <c r="AY99" s="2"/>
      <c r="AZ99" s="2"/>
      <c r="BA99" s="2"/>
      <c r="BB99"/>
      <c r="BF99" s="3"/>
      <c r="BK99"/>
      <c r="BL99"/>
      <c r="BM99"/>
      <c r="BR99"/>
    </row>
    <row r="100" spans="44:70" x14ac:dyDescent="0.4">
      <c r="AR100"/>
      <c r="AS100"/>
      <c r="AT100"/>
      <c r="AU100"/>
      <c r="AV100"/>
      <c r="AY100" s="2"/>
      <c r="AZ100" s="2"/>
      <c r="BA100" s="2"/>
      <c r="BB100"/>
      <c r="BF100" s="3"/>
      <c r="BK100"/>
      <c r="BL100"/>
      <c r="BM100"/>
      <c r="BR100"/>
    </row>
    <row r="101" spans="44:70" x14ac:dyDescent="0.4">
      <c r="AR101"/>
      <c r="AS101"/>
      <c r="AT101"/>
      <c r="AU101"/>
      <c r="AV101"/>
      <c r="AY101" s="2"/>
      <c r="AZ101" s="2"/>
      <c r="BA101" s="2"/>
      <c r="BB101"/>
      <c r="BF101" s="3"/>
      <c r="BK101"/>
      <c r="BL101"/>
      <c r="BM101"/>
      <c r="BR101"/>
    </row>
    <row r="102" spans="44:70" x14ac:dyDescent="0.4">
      <c r="AR102"/>
      <c r="AS102"/>
      <c r="AT102"/>
      <c r="AU102"/>
      <c r="AV102"/>
      <c r="AY102" s="2"/>
      <c r="AZ102" s="2"/>
      <c r="BA102" s="2"/>
      <c r="BB102"/>
      <c r="BF102" s="3"/>
      <c r="BK102"/>
      <c r="BL102"/>
      <c r="BM102"/>
      <c r="BR102"/>
    </row>
    <row r="103" spans="44:70" x14ac:dyDescent="0.4">
      <c r="AR103"/>
      <c r="AS103"/>
      <c r="AT103"/>
      <c r="AU103"/>
      <c r="AV103"/>
      <c r="AY103" s="2"/>
      <c r="AZ103" s="2"/>
      <c r="BA103" s="2"/>
      <c r="BB103"/>
      <c r="BF103" s="3"/>
      <c r="BK103"/>
      <c r="BL103"/>
      <c r="BM103"/>
      <c r="BR103"/>
    </row>
    <row r="104" spans="44:70" x14ac:dyDescent="0.4">
      <c r="AR104"/>
      <c r="AS104"/>
      <c r="AT104"/>
      <c r="AU104"/>
      <c r="AV104"/>
      <c r="AY104" s="2"/>
      <c r="AZ104" s="2"/>
      <c r="BA104" s="2"/>
      <c r="BB104"/>
      <c r="BF104" s="3"/>
      <c r="BK104"/>
      <c r="BL104"/>
      <c r="BM104"/>
      <c r="BR104"/>
    </row>
    <row r="105" spans="44:70" x14ac:dyDescent="0.4">
      <c r="AR105"/>
      <c r="AS105"/>
      <c r="AT105"/>
      <c r="AU105"/>
      <c r="AV105"/>
      <c r="AY105" s="2"/>
      <c r="AZ105" s="2"/>
      <c r="BA105" s="2"/>
      <c r="BB105"/>
      <c r="BF105" s="3"/>
      <c r="BK105"/>
      <c r="BL105"/>
      <c r="BM105"/>
      <c r="BR105"/>
    </row>
    <row r="106" spans="44:70" x14ac:dyDescent="0.4">
      <c r="AR106"/>
      <c r="AS106"/>
      <c r="AT106"/>
      <c r="AU106"/>
      <c r="AV106"/>
      <c r="AY106" s="2"/>
      <c r="AZ106" s="2"/>
      <c r="BA106" s="2"/>
      <c r="BB106"/>
      <c r="BF106" s="3"/>
      <c r="BK106"/>
      <c r="BL106"/>
      <c r="BM106"/>
      <c r="BR106"/>
    </row>
    <row r="107" spans="44:70" x14ac:dyDescent="0.4">
      <c r="AR107"/>
      <c r="AS107"/>
      <c r="AT107"/>
      <c r="AU107"/>
      <c r="AV107"/>
      <c r="AY107" s="2"/>
      <c r="AZ107" s="2"/>
      <c r="BA107" s="2"/>
      <c r="BB107"/>
      <c r="BF107" s="3"/>
      <c r="BK107"/>
      <c r="BL107"/>
      <c r="BM107"/>
      <c r="BR107"/>
    </row>
    <row r="108" spans="44:70" x14ac:dyDescent="0.4">
      <c r="AR108"/>
      <c r="AS108"/>
      <c r="AT108"/>
      <c r="AU108"/>
      <c r="AV108"/>
      <c r="AY108" s="2"/>
      <c r="AZ108" s="2"/>
      <c r="BA108" s="2"/>
      <c r="BB108"/>
      <c r="BF108" s="3"/>
      <c r="BK108"/>
      <c r="BL108"/>
      <c r="BM108"/>
      <c r="BR108"/>
    </row>
    <row r="109" spans="44:70" x14ac:dyDescent="0.4">
      <c r="AR109"/>
      <c r="AS109"/>
      <c r="AT109"/>
      <c r="AU109"/>
      <c r="AV109"/>
      <c r="AY109" s="2"/>
      <c r="AZ109" s="2"/>
      <c r="BA109" s="2"/>
      <c r="BB109"/>
      <c r="BF109" s="3"/>
      <c r="BK109"/>
      <c r="BL109"/>
      <c r="BM109"/>
      <c r="BR109"/>
    </row>
    <row r="110" spans="44:70" x14ac:dyDescent="0.4">
      <c r="AR110"/>
      <c r="AS110"/>
      <c r="AT110"/>
      <c r="AU110"/>
      <c r="AV110"/>
      <c r="AY110" s="2"/>
      <c r="AZ110" s="2"/>
      <c r="BA110" s="2"/>
      <c r="BB110"/>
      <c r="BF110" s="3"/>
      <c r="BK110"/>
      <c r="BL110"/>
      <c r="BM110"/>
      <c r="BR110"/>
    </row>
    <row r="111" spans="44:70" x14ac:dyDescent="0.4">
      <c r="AR111"/>
      <c r="AS111"/>
      <c r="AT111"/>
      <c r="AU111"/>
      <c r="AV111"/>
      <c r="AY111" s="2"/>
      <c r="AZ111" s="2"/>
      <c r="BA111" s="2"/>
      <c r="BB111"/>
      <c r="BF111" s="3"/>
      <c r="BK111"/>
      <c r="BL111"/>
      <c r="BM111"/>
      <c r="BR111"/>
    </row>
    <row r="112" spans="44:70" x14ac:dyDescent="0.4">
      <c r="AR112"/>
      <c r="AS112"/>
      <c r="AT112"/>
      <c r="AU112"/>
      <c r="AV112"/>
      <c r="AY112" s="2"/>
      <c r="AZ112" s="2"/>
      <c r="BA112" s="2"/>
      <c r="BB112"/>
      <c r="BF112" s="3"/>
      <c r="BK112"/>
      <c r="BL112"/>
      <c r="BM112"/>
      <c r="BR112"/>
    </row>
    <row r="113" spans="44:70" x14ac:dyDescent="0.4">
      <c r="AR113"/>
      <c r="AS113"/>
      <c r="AT113"/>
      <c r="AU113"/>
      <c r="AV113"/>
      <c r="AY113" s="2"/>
      <c r="AZ113" s="2"/>
      <c r="BA113" s="2"/>
      <c r="BB113"/>
      <c r="BF113" s="3"/>
      <c r="BK113"/>
      <c r="BL113"/>
      <c r="BM113"/>
      <c r="BR113"/>
    </row>
    <row r="114" spans="44:70" x14ac:dyDescent="0.4">
      <c r="AR114"/>
      <c r="AS114"/>
      <c r="AT114"/>
      <c r="AU114"/>
      <c r="AV114"/>
      <c r="AY114" s="2"/>
      <c r="AZ114" s="2"/>
      <c r="BA114" s="2"/>
      <c r="BB114"/>
      <c r="BF114" s="3"/>
      <c r="BK114"/>
      <c r="BL114"/>
      <c r="BM114"/>
      <c r="BR114"/>
    </row>
    <row r="115" spans="44:70" x14ac:dyDescent="0.4">
      <c r="AR115"/>
      <c r="AS115"/>
      <c r="AT115"/>
      <c r="AU115"/>
      <c r="AV115"/>
      <c r="AY115" s="2"/>
      <c r="AZ115" s="2"/>
      <c r="BA115" s="2"/>
      <c r="BB115"/>
      <c r="BF115" s="3"/>
      <c r="BK115"/>
      <c r="BL115"/>
      <c r="BM115"/>
      <c r="BR115"/>
    </row>
    <row r="116" spans="44:70" x14ac:dyDescent="0.4">
      <c r="AR116"/>
      <c r="AS116"/>
      <c r="AT116"/>
      <c r="AU116"/>
      <c r="AV116"/>
      <c r="AY116" s="2"/>
      <c r="AZ116" s="2"/>
      <c r="BA116" s="2"/>
      <c r="BB116"/>
      <c r="BF116" s="3"/>
      <c r="BK116"/>
      <c r="BL116"/>
      <c r="BM116"/>
      <c r="BR116"/>
    </row>
    <row r="117" spans="44:70" x14ac:dyDescent="0.4">
      <c r="AR117"/>
      <c r="AS117"/>
      <c r="AT117"/>
      <c r="AU117"/>
      <c r="AV117"/>
      <c r="AY117" s="2"/>
      <c r="AZ117" s="2"/>
      <c r="BA117" s="2"/>
      <c r="BB117"/>
      <c r="BF117" s="3"/>
      <c r="BK117"/>
      <c r="BL117"/>
      <c r="BM117"/>
      <c r="BR117"/>
    </row>
    <row r="118" spans="44:70" x14ac:dyDescent="0.4">
      <c r="AR118"/>
      <c r="AS118"/>
      <c r="AT118"/>
      <c r="AU118"/>
      <c r="AV118"/>
      <c r="AY118" s="2"/>
      <c r="AZ118" s="2"/>
      <c r="BA118" s="2"/>
      <c r="BB118"/>
      <c r="BF118" s="3"/>
      <c r="BK118"/>
      <c r="BL118"/>
      <c r="BM118"/>
      <c r="BR118"/>
    </row>
    <row r="119" spans="44:70" x14ac:dyDescent="0.4">
      <c r="AR119"/>
      <c r="AS119"/>
      <c r="AT119"/>
      <c r="AU119"/>
      <c r="AV119"/>
      <c r="AY119" s="2"/>
      <c r="AZ119" s="2"/>
      <c r="BA119" s="2"/>
      <c r="BB119"/>
      <c r="BF119" s="3"/>
      <c r="BK119"/>
      <c r="BL119"/>
      <c r="BM119"/>
      <c r="BR119"/>
    </row>
    <row r="120" spans="44:70" x14ac:dyDescent="0.4">
      <c r="AR120"/>
      <c r="AS120"/>
      <c r="AT120"/>
      <c r="AU120"/>
      <c r="AV120"/>
      <c r="AY120" s="2"/>
      <c r="AZ120" s="2"/>
      <c r="BA120" s="2"/>
      <c r="BB120"/>
      <c r="BF120" s="3"/>
      <c r="BK120"/>
      <c r="BL120"/>
      <c r="BM120"/>
      <c r="BR120"/>
    </row>
    <row r="121" spans="44:70" x14ac:dyDescent="0.4">
      <c r="AR121"/>
      <c r="AS121"/>
      <c r="AT121"/>
      <c r="AU121"/>
      <c r="AV121"/>
      <c r="AY121" s="2"/>
      <c r="AZ121" s="2"/>
      <c r="BA121" s="2"/>
      <c r="BB121"/>
      <c r="BF121" s="3"/>
      <c r="BK121"/>
      <c r="BL121"/>
      <c r="BM121"/>
      <c r="BR121"/>
    </row>
    <row r="122" spans="44:70" x14ac:dyDescent="0.4">
      <c r="AR122"/>
      <c r="AS122"/>
      <c r="AT122"/>
      <c r="AU122"/>
      <c r="AV122"/>
      <c r="AY122" s="2"/>
      <c r="AZ122" s="2"/>
      <c r="BA122" s="2"/>
      <c r="BB122"/>
      <c r="BF122" s="3"/>
      <c r="BK122"/>
      <c r="BL122"/>
      <c r="BM122"/>
      <c r="BR122"/>
    </row>
    <row r="123" spans="44:70" x14ac:dyDescent="0.4">
      <c r="AR123"/>
      <c r="AS123"/>
      <c r="AT123"/>
      <c r="AU123"/>
      <c r="AV123"/>
      <c r="AY123" s="2"/>
      <c r="AZ123" s="2"/>
      <c r="BA123" s="2"/>
      <c r="BB123"/>
      <c r="BF123" s="3"/>
      <c r="BK123"/>
      <c r="BL123"/>
      <c r="BM123"/>
      <c r="BR123"/>
    </row>
    <row r="124" spans="44:70" x14ac:dyDescent="0.4">
      <c r="AR124"/>
      <c r="AS124"/>
      <c r="AT124"/>
      <c r="AU124"/>
      <c r="AV124"/>
      <c r="AY124" s="2"/>
      <c r="AZ124" s="2"/>
      <c r="BA124" s="2"/>
      <c r="BB124"/>
      <c r="BF124" s="3"/>
      <c r="BK124"/>
      <c r="BL124"/>
      <c r="BM124"/>
      <c r="BR124"/>
    </row>
    <row r="125" spans="44:70" x14ac:dyDescent="0.4">
      <c r="AR125"/>
      <c r="AS125"/>
      <c r="AT125"/>
      <c r="AU125"/>
      <c r="AV125"/>
      <c r="AY125" s="2"/>
      <c r="AZ125" s="2"/>
      <c r="BA125" s="2"/>
      <c r="BB125"/>
      <c r="BF125" s="3"/>
      <c r="BK125"/>
      <c r="BL125"/>
      <c r="BM125"/>
      <c r="BR125"/>
    </row>
    <row r="126" spans="44:70" x14ac:dyDescent="0.4">
      <c r="AR126"/>
      <c r="AS126"/>
      <c r="AT126"/>
      <c r="AU126"/>
      <c r="AV126"/>
      <c r="AY126" s="2"/>
      <c r="AZ126" s="2"/>
      <c r="BA126" s="2"/>
      <c r="BB126"/>
      <c r="BF126" s="3"/>
      <c r="BK126"/>
      <c r="BL126"/>
      <c r="BM126"/>
      <c r="BR126"/>
    </row>
    <row r="127" spans="44:70" x14ac:dyDescent="0.4">
      <c r="AR127"/>
      <c r="AS127"/>
      <c r="AT127"/>
      <c r="AU127"/>
      <c r="AV127"/>
      <c r="AY127" s="2"/>
      <c r="AZ127" s="2"/>
      <c r="BA127" s="2"/>
      <c r="BB127"/>
      <c r="BF127" s="3"/>
      <c r="BK127"/>
      <c r="BL127"/>
      <c r="BM127"/>
      <c r="BR127"/>
    </row>
    <row r="128" spans="44:70" x14ac:dyDescent="0.4">
      <c r="AR128"/>
      <c r="AS128"/>
      <c r="AT128"/>
      <c r="AU128"/>
      <c r="AV128"/>
      <c r="AY128" s="2"/>
      <c r="AZ128" s="2"/>
      <c r="BA128" s="2"/>
      <c r="BB128"/>
      <c r="BF128" s="3"/>
      <c r="BK128"/>
      <c r="BL128"/>
      <c r="BM128"/>
      <c r="BR12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C10"/>
  <sheetViews>
    <sheetView tabSelected="1" workbookViewId="0">
      <selection activeCell="C9" sqref="C9"/>
    </sheetView>
  </sheetViews>
  <sheetFormatPr defaultRowHeight="14.6" x14ac:dyDescent="0.4"/>
  <cols>
    <col min="1" max="1" width="16.765625" style="30" customWidth="1"/>
    <col min="2" max="2" width="16.3828125" style="30" customWidth="1"/>
    <col min="3" max="3" width="69.765625" style="30" customWidth="1"/>
    <col min="4" max="16384" width="9.23046875" style="30"/>
  </cols>
  <sheetData>
    <row r="1" spans="1:3" x14ac:dyDescent="0.4">
      <c r="A1" s="30" t="s">
        <v>100</v>
      </c>
    </row>
    <row r="2" spans="1:3" x14ac:dyDescent="0.4">
      <c r="A2" s="31" t="s">
        <v>101</v>
      </c>
      <c r="B2" s="30" t="s">
        <v>102</v>
      </c>
    </row>
    <row r="3" spans="1:3" x14ac:dyDescent="0.4">
      <c r="A3" s="31" t="s">
        <v>103</v>
      </c>
      <c r="B3" s="32"/>
    </row>
    <row r="4" spans="1:3" x14ac:dyDescent="0.4">
      <c r="A4" s="31" t="s">
        <v>104</v>
      </c>
      <c r="B4" s="30" t="s">
        <v>105</v>
      </c>
    </row>
    <row r="5" spans="1:3" x14ac:dyDescent="0.4">
      <c r="A5" s="31" t="s">
        <v>106</v>
      </c>
    </row>
    <row r="7" spans="1:3" x14ac:dyDescent="0.4">
      <c r="A7" s="33" t="s">
        <v>107</v>
      </c>
      <c r="B7" s="34" t="s">
        <v>108</v>
      </c>
      <c r="C7" s="35" t="s">
        <v>109</v>
      </c>
    </row>
    <row r="8" spans="1:3" ht="58.3" x14ac:dyDescent="0.4">
      <c r="A8" s="30" t="s">
        <v>119</v>
      </c>
      <c r="B8" s="42">
        <v>43063.567962962959</v>
      </c>
      <c r="C8" s="43" t="s">
        <v>120</v>
      </c>
    </row>
    <row r="9" spans="1:3" ht="409.6" x14ac:dyDescent="0.4">
      <c r="A9" s="30" t="s">
        <v>121</v>
      </c>
      <c r="B9" s="42">
        <v>43063.567962962959</v>
      </c>
      <c r="C9" s="43" t="s">
        <v>122</v>
      </c>
    </row>
    <row r="10" spans="1:3" ht="409.6" x14ac:dyDescent="0.4">
      <c r="A10" s="30" t="s">
        <v>123</v>
      </c>
      <c r="B10" s="42">
        <v>43063.567962962959</v>
      </c>
      <c r="C10" s="43" t="s">
        <v>124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E06AAFA8F9984CAFC6287E16BADFE6" ma:contentTypeVersion="0" ma:contentTypeDescription="Create a new document." ma:contentTypeScope="" ma:versionID="3bfdfc741f4cc3bdc45d9a9ab868a84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7E40F5B-E2D8-4B79-82FC-02118DE9ED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4B4B5F4-D9E0-42CA-9750-5EEDEB94FB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3C1E7CE-851C-4FB6-8844-372B31F0DE24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Dashboard</vt:lpstr>
      <vt:lpstr>Awards</vt:lpstr>
      <vt:lpstr>Pending</vt:lpstr>
      <vt:lpstr>HiddenSettings</vt:lpstr>
      <vt:lpstr>Mac_connect_string</vt:lpstr>
      <vt:lpstr>PC_connect_string</vt:lpstr>
      <vt:lpstr>HiddenSettings!proppiAwd</vt:lpstr>
      <vt:lpstr>HiddenSettings!proppiPend</vt:lpstr>
      <vt:lpstr>HiddenSettings!proppiProps</vt:lpstr>
      <vt:lpstr>HiddenSettings!rpt_pwd</vt:lpstr>
      <vt:lpstr>HiddenSettings!user_id</vt:lpstr>
    </vt:vector>
  </TitlesOfParts>
  <Company>National Science Foundation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Snoeyink</dc:creator>
  <cp:lastModifiedBy>Jack Snoeyink</cp:lastModifiedBy>
  <dcterms:created xsi:type="dcterms:W3CDTF">2015-11-09T16:20:06Z</dcterms:created>
  <dcterms:modified xsi:type="dcterms:W3CDTF">2017-11-24T18:43:00Z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0x0101008EE06AAFA8F9984CAFC6287E16BADFE6</vt:lpwstr>
  </property>
  <property fmtid="{D5CDD505-2E9C-101B-9397-08002B2CF9AE}" pid="3" name="SV_QUERY_LIST_4F35BF76-6C0D-4D9B-82B2-816C12CF3733">
    <vt:lpwstr>empty_477D106A-C0D6-4607-AEBD-E2C9D60EA279</vt:lpwstr>
  </property>
</Properties>
</file>